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E:\EXCEL\Gerador\"/>
    </mc:Choice>
  </mc:AlternateContent>
  <xr:revisionPtr revIDLastSave="0" documentId="13_ncr:1_{D1CCE7C7-BB6E-49D9-B2C9-172992EF3A32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GERADOR" sheetId="5" r:id="rId1"/>
    <sheet name="CONTATO (2)" sheetId="7" state="hidden" r:id="rId2"/>
    <sheet name="SEGUIMENTOS" sheetId="2" r:id="rId3"/>
    <sheet name="APOIO" sheetId="4" r:id="rId4"/>
    <sheet name="CONTROLE" sheetId="12" r:id="rId5"/>
    <sheet name="CONTATO" sheetId="6" r:id="rId6"/>
    <sheet name="CONTATO (3)" sheetId="13" state="veryHidden" r:id="rId7"/>
  </sheets>
  <functionGroups builtInGroupCount="19"/>
  <definedNames>
    <definedName name="_xlnm._FilterDatabase" localSheetId="3" hidden="1">APOIO!$B$5:$B$10</definedName>
    <definedName name="_xlnm._FilterDatabase" localSheetId="4" hidden="1">CONTROLE!$B$2:$B$5</definedName>
    <definedName name="_xlnm._FilterDatabase" localSheetId="2" hidden="1">SEGUIMENTOS!$G$3:$H$3</definedName>
    <definedName name="_xlnm.Extract" localSheetId="3">APOIO!$D$3</definedName>
    <definedName name="_xlnm.Print_Area" localSheetId="0">GERADOR!$A$1:$AA$18</definedName>
    <definedName name="_xlnm.Print_Area" localSheetId="2">SEGUIMENTOS!$A$1:$AC$183</definedName>
    <definedName name="Cód_1">OFFSET(SEGUIMENTOS!$B$4,0,0,COUNTA(SEGUIMENTOS!$A:$A)-2,1)</definedName>
    <definedName name="Cód_10">OFFSET(SEGUIMENTOS!$AC$4,0,0,COUNTA(SEGUIMENTOS!$AB:$AB)-2,1)</definedName>
    <definedName name="Cód_2">OFFSET(SEGUIMENTOS!$E$4,0,0,COUNTA(SEGUIMENTOS!$D:$D)-2,1)</definedName>
    <definedName name="Cód_3">OFFSET(SEGUIMENTOS!$H$4,0,0,COUNTA(SEGUIMENTOS!$G:$G)-2,1)</definedName>
    <definedName name="Cód_4">OFFSET(SEGUIMENTOS!$K$4,0,0,COUNTA(SEGUIMENTOS!$J:$J)-2,1)</definedName>
    <definedName name="Cód_5">OFFSET(SEGUIMENTOS!$N$4,0,0,COUNTA(SEGUIMENTOS!$M:$M)-2,1)</definedName>
    <definedName name="Cód_6">OFFSET(SEGUIMENTOS!$Q$4,0,0,COUNTA(SEGUIMENTOS!$P:$P)-2,1)</definedName>
    <definedName name="Cód_7">OFFSET(SEGUIMENTOS!$T$4,0,0,COUNTA(SEGUIMENTOS!$S:$S)-2,1)</definedName>
    <definedName name="Cód_8">OFFSET(SEGUIMENTOS!$W$4,0,0,COUNTA(SEGUIMENTOS!$V:$V)-2,1)</definedName>
    <definedName name="Cód_9">OFFSET(SEGUIMENTOS!$Z$4,0,0,COUNTA(SEGUIMENTOS!$Y:$Y)-2,1)</definedName>
    <definedName name="_xlnm.Criteria" localSheetId="3">APOIO!$B$1:$B$2</definedName>
    <definedName name="formQRcode">GERADOR!$AC$13</definedName>
    <definedName name="Seg_1">OFFSET(SEGUIMENTOS!$A$4,0,0,COUNTA(SEGUIMENTOS!$A:$A)-3,1)</definedName>
    <definedName name="Seg_10">OFFSET(SEGUIMENTOS!$AB$4,0,0,COUNTA(SEGUIMENTOS!$AB:$AB)-3,1)</definedName>
    <definedName name="Seg_2">OFFSET(SEGUIMENTOS!$D$4,0,0,COUNTA(SEGUIMENTOS!$D:$D)-3,1)</definedName>
    <definedName name="Seg_3">OFFSET(SEGUIMENTOS!$G$4,0,0,COUNTA(SEGUIMENTOS!$G:$G)-3,1)</definedName>
    <definedName name="Seg_4">OFFSET(SEGUIMENTOS!$J$4,0,0,COUNTA(SEGUIMENTOS!$J:$J)-3,1)</definedName>
    <definedName name="Seg_5">OFFSET(SEGUIMENTOS!$M$4,0,0,COUNTA(SEGUIMENTOS!$M:$M)-3,1)</definedName>
    <definedName name="Seg_6">OFFSET(SEGUIMENTOS!$P$4,0,0,COUNTA(SEGUIMENTOS!$P:$P)-3,1)</definedName>
    <definedName name="Seg_7">OFFSET(SEGUIMENTOS!$S$4,0,0,COUNTA(SEGUIMENTOS!$S:$S)-3,1)</definedName>
    <definedName name="Seg_8">OFFSET(SEGUIMENTOS!$V$4,0,0,COUNTA(SEGUIMENTOS!$V:$V)-3,1)</definedName>
    <definedName name="Seg_9">OFFSET(SEGUIMENTOS!$Y$4,0,0,COUNTA(SEGUIMENTOS!$Y:$Y)-3,1)</definedName>
    <definedName name="Teste">Seg_1 &amp; Cód_1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4" l="1"/>
  <c r="AD11" i="5"/>
  <c r="AD10" i="5"/>
  <c r="AD9" i="5"/>
  <c r="AD8" i="5"/>
  <c r="AD6" i="5"/>
  <c r="AD5" i="5"/>
  <c r="AD4" i="5"/>
  <c r="AD3" i="5"/>
  <c r="AD2" i="5"/>
  <c r="AC11" i="5"/>
  <c r="AC10" i="5"/>
  <c r="AC9" i="5"/>
  <c r="AC8" i="5"/>
  <c r="AC7" i="5"/>
  <c r="AC6" i="5"/>
  <c r="AC5" i="5"/>
  <c r="AC4" i="5"/>
  <c r="AC3" i="5"/>
  <c r="AC2" i="5"/>
  <c r="T14" i="5"/>
  <c r="R14" i="5"/>
  <c r="P14" i="5"/>
  <c r="N14" i="5"/>
  <c r="L14" i="5"/>
  <c r="J14" i="5"/>
  <c r="H14" i="5"/>
  <c r="F14" i="5"/>
  <c r="D14" i="5"/>
  <c r="B14" i="5"/>
  <c r="AC13" i="5"/>
  <c r="B17" i="5" l="1"/>
  <c r="B2" i="4" s="1"/>
  <c r="I3" i="4"/>
  <c r="H3" i="4"/>
  <c r="I4" i="4" l="1"/>
  <c r="J3" i="4"/>
  <c r="B3" i="4"/>
  <c r="F3" i="4" s="1"/>
  <c r="B17" i="7"/>
  <c r="H7" i="4" l="1"/>
  <c r="L6" i="4"/>
  <c r="I7" i="5"/>
  <c r="L9" i="4" l="1"/>
  <c r="I7" i="4"/>
  <c r="L3" i="4" l="1"/>
  <c r="AD7" i="5"/>
</calcChain>
</file>

<file path=xl/sharedStrings.xml><?xml version="1.0" encoding="utf-8"?>
<sst xmlns="http://schemas.openxmlformats.org/spreadsheetml/2006/main" count="226" uniqueCount="149">
  <si>
    <t>B</t>
  </si>
  <si>
    <t>CÓD</t>
  </si>
  <si>
    <t>NOVO</t>
  </si>
  <si>
    <t>Seguimento 1</t>
  </si>
  <si>
    <t>Descrição</t>
  </si>
  <si>
    <t>Código</t>
  </si>
  <si>
    <t>Seguimento 2</t>
  </si>
  <si>
    <t>Seguimento 5</t>
  </si>
  <si>
    <t>Seguimento 4</t>
  </si>
  <si>
    <t>Seguimento 3</t>
  </si>
  <si>
    <t>Seguimento 6</t>
  </si>
  <si>
    <t>Seguimento 7</t>
  </si>
  <si>
    <t>Seguimento 8</t>
  </si>
  <si>
    <t>Seguimento 9</t>
  </si>
  <si>
    <t>Seguimento 10</t>
  </si>
  <si>
    <t>-</t>
  </si>
  <si>
    <t>Número de Série</t>
  </si>
  <si>
    <t>Iniciar em:</t>
  </si>
  <si>
    <t>N. Carcteres:</t>
  </si>
  <si>
    <t>Limite</t>
  </si>
  <si>
    <t>Formato:</t>
  </si>
  <si>
    <t>Valor Atual</t>
  </si>
  <si>
    <t>Valor Novo</t>
  </si>
  <si>
    <t>Limite Excedido?</t>
  </si>
  <si>
    <t>Poss. Sérial</t>
  </si>
  <si>
    <t>Seguimento</t>
  </si>
  <si>
    <t>Não Seriado</t>
  </si>
  <si>
    <t>Já existe?</t>
  </si>
  <si>
    <t>É número?</t>
  </si>
  <si>
    <t>Usou " * "?</t>
  </si>
  <si>
    <t>E</t>
  </si>
  <si>
    <t>DES</t>
  </si>
  <si>
    <t>A</t>
  </si>
  <si>
    <t>H</t>
  </si>
  <si>
    <t>C</t>
  </si>
  <si>
    <t>D</t>
  </si>
  <si>
    <t>F</t>
  </si>
  <si>
    <t>G</t>
  </si>
  <si>
    <t>DEP</t>
  </si>
  <si>
    <t>EFL</t>
  </si>
  <si>
    <t>CAL</t>
  </si>
  <si>
    <t>ALC</t>
  </si>
  <si>
    <t>CZD</t>
  </si>
  <si>
    <t>CZC</t>
  </si>
  <si>
    <t>CAP</t>
  </si>
  <si>
    <t>PRM</t>
  </si>
  <si>
    <t>ADT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</si>
  <si>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</si>
  <si>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</si>
  <si>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</si>
  <si>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</si>
  <si>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</si>
  <si>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</si>
  <si>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</si>
  <si>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</si>
  <si>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</si>
  <si>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</si>
  <si>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</si>
  <si>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</si>
  <si>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</si>
  <si>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</si>
  <si>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SUB-SISTEMA</t>
  </si>
  <si>
    <t>ÁREA</t>
  </si>
  <si>
    <t>SUB-AREA</t>
  </si>
  <si>
    <t>'Jousiel Vilela  -  https://br.linkedin.com/in/jousiel</t>
  </si>
  <si>
    <t>'jousiel@gmail.com</t>
  </si>
  <si>
    <t>BANCO DE DADOS</t>
  </si>
  <si>
    <t>(DES)   Descascamento</t>
  </si>
  <si>
    <t>(DEP)   Depuração</t>
  </si>
  <si>
    <t>(ALC)   Alimentação de cavacos</t>
  </si>
  <si>
    <t>(CZD)   Cozimento descontínuo</t>
  </si>
  <si>
    <t>(CZC)   Cozimento contínuo</t>
  </si>
  <si>
    <t>(EFL)   Efluentes</t>
  </si>
  <si>
    <t>(CAL)   Caldeira</t>
  </si>
  <si>
    <t>(CAP)   Central aparas</t>
  </si>
  <si>
    <t>(PRM)   Preparação de massa</t>
  </si>
  <si>
    <t>(ADT)   Aditivos</t>
  </si>
  <si>
    <t>(A)   Preparação de Madeira</t>
  </si>
  <si>
    <t>(B)   Central de Lavagem</t>
  </si>
  <si>
    <t>(C)   Cozimento</t>
  </si>
  <si>
    <t>(D)   Efluentes</t>
  </si>
  <si>
    <t>(E)   Conj. Recup. 600ton</t>
  </si>
  <si>
    <t>(F)   Cartão</t>
  </si>
  <si>
    <t>(G)   Consumo</t>
  </si>
  <si>
    <t>(H)   Couchê</t>
  </si>
  <si>
    <t>Teste 6</t>
  </si>
  <si>
    <t>teste 7</t>
  </si>
  <si>
    <t>teste 8</t>
  </si>
  <si>
    <t>teste 9</t>
  </si>
  <si>
    <t>teste 10</t>
  </si>
  <si>
    <t>BAHIA</t>
  </si>
  <si>
    <t>SÃO PAULO</t>
  </si>
  <si>
    <t>RIO DE JANIRO</t>
  </si>
  <si>
    <t>SERGIPE</t>
  </si>
  <si>
    <t>SE</t>
  </si>
  <si>
    <t>BA</t>
  </si>
  <si>
    <t>SP</t>
  </si>
  <si>
    <t>RJ</t>
  </si>
  <si>
    <t>ADMINISTRATIVO</t>
  </si>
  <si>
    <t>ADM</t>
  </si>
  <si>
    <t>EQUIPAMENTOS DESATIVADOS</t>
  </si>
  <si>
    <t>DEL</t>
  </si>
  <si>
    <t>DEPÓSITO FEIRA DE SANTANA</t>
  </si>
  <si>
    <t>DFS</t>
  </si>
  <si>
    <t>INJEÇÃO</t>
  </si>
  <si>
    <t>ENA</t>
  </si>
  <si>
    <t>ROTOMOLDAGEM</t>
  </si>
  <si>
    <t>ROT</t>
  </si>
  <si>
    <t>EXPEDIÇÃO</t>
  </si>
  <si>
    <t>EXP</t>
  </si>
  <si>
    <t>EXTRUSÃO</t>
  </si>
  <si>
    <t>EXT</t>
  </si>
  <si>
    <t>FABRICAÇÃO</t>
  </si>
  <si>
    <t>FAB</t>
  </si>
  <si>
    <t>OFICINA</t>
  </si>
  <si>
    <t>OFC</t>
  </si>
  <si>
    <t>UTILIDADES</t>
  </si>
  <si>
    <t>UTI</t>
  </si>
  <si>
    <t>Segumento 1</t>
  </si>
  <si>
    <t>Segumento 2</t>
  </si>
  <si>
    <t>Segumento 3</t>
  </si>
  <si>
    <t>Segumento 4</t>
  </si>
  <si>
    <t>Segumento 5</t>
  </si>
  <si>
    <t>Segumento 6</t>
  </si>
  <si>
    <t>Segumento 7</t>
  </si>
  <si>
    <t>Segumento 8</t>
  </si>
  <si>
    <t>Segumento 9</t>
  </si>
  <si>
    <t>Segumento 10</t>
  </si>
  <si>
    <t>Mesa alimentadora</t>
  </si>
  <si>
    <t>Depuração de nós</t>
  </si>
  <si>
    <t>Túneis</t>
  </si>
  <si>
    <t>Alimentação de peneiras</t>
  </si>
  <si>
    <t>Estação de peneiramento</t>
  </si>
  <si>
    <t>Cozinhador Nº 4</t>
  </si>
  <si>
    <t>Cozimento KAMYR</t>
  </si>
  <si>
    <t>Preparação do polieletrolito</t>
  </si>
  <si>
    <t>Caldeira</t>
  </si>
  <si>
    <t>Desag. de aparas e fardos</t>
  </si>
  <si>
    <t>Dep. grossa e fracionamento</t>
  </si>
  <si>
    <t>Dep. fina - fibra curta</t>
  </si>
  <si>
    <t>Fibra curta linha 2,3 e 4</t>
  </si>
  <si>
    <t>Amido cozido prensa cola</t>
  </si>
  <si>
    <t>UNIDADE</t>
  </si>
  <si>
    <t>'Desenvolvido  e cedido por:</t>
  </si>
  <si>
    <t>'(71) 9 9274-3955</t>
  </si>
  <si>
    <t>QRcode?</t>
  </si>
  <si>
    <t>BA-C-EFL-009ENA-01</t>
  </si>
  <si>
    <t>BA-C-EFL-009ENA-0178910</t>
  </si>
  <si>
    <t>SETOR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</si>
</sst>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Calibri"/>
      <family val="2"/>
    </font>
    <font>
      <b/>
      <sz val="3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8"/>
      <color rgb="FF000000"/>
      <name val="Segoe UI"/>
      <family val="2"/>
    </font>
    <font>
      <sz val="18"/>
      <color theme="1"/>
      <name val="CCode39"/>
    </font>
    <font>
      <sz val="36"/>
      <color theme="1"/>
      <name val="Bar-Code 39"/>
      <family val="2"/>
      <charset val="2"/>
    </font>
    <font>
      <sz val="48"/>
      <color theme="1"/>
      <name val="Code 128"/>
      <charset val="2"/>
    </font>
    <font>
      <sz val="2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3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1" fillId="2" borderId="0" xfId="0" applyFont="1" applyFill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8" fillId="0" borderId="0" xfId="0" applyFont="1" applyAlignment="1">
      <alignment horizontal="center" vertical="center" shrinkToFit="1"/>
    </xf>
    <xf numFmtId="0" fontId="1" fillId="0" borderId="0" xfId="0" applyFont="1" applyFill="1" applyAlignment="1">
      <alignment horizontal="center" vertical="center" shrinkToFit="1"/>
    </xf>
    <xf numFmtId="0" fontId="9" fillId="0" borderId="0" xfId="0" applyFont="1"/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center" wrapText="1"/>
    </xf>
    <xf numFmtId="0" fontId="10" fillId="0" borderId="0" xfId="0" applyFont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right" vertical="center" shrinkToFit="1"/>
    </xf>
    <xf numFmtId="0" fontId="7" fillId="0" borderId="0" xfId="0" applyFont="1" applyAlignment="1">
      <alignment horizontal="center"/>
    </xf>
    <xf numFmtId="0" fontId="0" fillId="0" borderId="20" xfId="0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 shrinkToFit="1"/>
    </xf>
    <xf numFmtId="0" fontId="0" fillId="5" borderId="0" xfId="0" applyFill="1" applyAlignment="1">
      <alignment horizontal="center" vertical="center" shrinkToFit="1"/>
    </xf>
    <xf numFmtId="0" fontId="15" fillId="0" borderId="0" xfId="0" applyFont="1" applyFill="1" applyAlignment="1">
      <alignment horizontal="left" vertical="top" shrinkToFit="1"/>
    </xf>
    <xf numFmtId="0" fontId="11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8" fillId="0" borderId="0" xfId="0" applyFont="1" applyFill="1" applyBorder="1" applyAlignment="1">
      <alignment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21" fillId="0" borderId="0" xfId="0" applyFont="1" applyBorder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5" xfId="0" quotePrefix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 shrinkToFit="1"/>
    </xf>
    <xf numFmtId="0" fontId="4" fillId="3" borderId="18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11" fillId="3" borderId="10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shrinkToFit="1"/>
    </xf>
    <xf numFmtId="0" fontId="2" fillId="3" borderId="0" xfId="0" applyFont="1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2" fontId="0" fillId="3" borderId="0" xfId="0" applyNumberFormat="1" applyFill="1" applyAlignment="1">
      <alignment horizontal="center"/>
    </xf>
    <xf numFmtId="0" fontId="0" fillId="3" borderId="0" xfId="0" applyFill="1" applyAlignment="1">
      <alignment horizontal="left"/>
    </xf>
    <xf numFmtId="0" fontId="24" fillId="0" borderId="6" xfId="0" quotePrefix="1" applyFont="1" applyBorder="1" applyAlignment="1">
      <alignment horizontal="center" vertical="center"/>
    </xf>
    <xf numFmtId="0" fontId="24" fillId="0" borderId="7" xfId="0" quotePrefix="1" applyFont="1" applyBorder="1" applyAlignment="1">
      <alignment horizontal="center" vertical="center"/>
    </xf>
    <xf numFmtId="0" fontId="24" fillId="0" borderId="8" xfId="0" quotePrefix="1" applyFont="1" applyBorder="1" applyAlignment="1">
      <alignment horizontal="center" vertical="center"/>
    </xf>
    <xf numFmtId="0" fontId="24" fillId="0" borderId="22" xfId="0" quotePrefix="1" applyFont="1" applyBorder="1" applyAlignment="1">
      <alignment horizontal="center" vertical="center"/>
    </xf>
    <xf numFmtId="0" fontId="24" fillId="0" borderId="0" xfId="0" quotePrefix="1" applyFont="1" applyBorder="1" applyAlignment="1">
      <alignment horizontal="center" vertical="center"/>
    </xf>
    <xf numFmtId="0" fontId="24" fillId="0" borderId="23" xfId="0" quotePrefix="1" applyFont="1" applyBorder="1" applyAlignment="1">
      <alignment horizontal="center" vertical="center"/>
    </xf>
    <xf numFmtId="0" fontId="24" fillId="0" borderId="10" xfId="0" quotePrefix="1" applyFont="1" applyBorder="1" applyAlignment="1">
      <alignment horizontal="center" vertical="center"/>
    </xf>
    <xf numFmtId="0" fontId="24" fillId="0" borderId="15" xfId="0" quotePrefix="1" applyFont="1" applyBorder="1" applyAlignment="1">
      <alignment horizontal="center" vertical="center"/>
    </xf>
    <xf numFmtId="0" fontId="24" fillId="0" borderId="11" xfId="0" quotePrefix="1" applyFont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0" fontId="2" fillId="4" borderId="2" xfId="0" applyFont="1" applyFill="1" applyBorder="1" applyAlignment="1">
      <alignment horizontal="center" vertical="center" shrinkToFit="1"/>
    </xf>
    <xf numFmtId="0" fontId="2" fillId="4" borderId="3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/>
    </xf>
    <xf numFmtId="0" fontId="5" fillId="4" borderId="0" xfId="0" applyFont="1" applyFill="1" applyAlignment="1">
      <alignment horizontal="center" shrinkToFit="1"/>
    </xf>
    <xf numFmtId="0" fontId="5" fillId="2" borderId="0" xfId="0" applyFont="1" applyFill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</cellXfs>
  <cellStyles count="1">
    <cellStyle name="Normal" xfId="0" builtinId="0"/>
  </cellStyles>
  <dxfs count="12">
    <dxf>
      <font>
        <strike/>
        <color theme="0" tint="-0.34998626667073579"/>
      </font>
      <fill>
        <patternFill patternType="lightUp">
          <fgColor theme="0" tint="-0.499984740745262"/>
          <bgColor theme="0" tint="-0.14996795556505021"/>
        </patternFill>
      </fill>
    </dxf>
    <dxf>
      <font>
        <strike/>
        <color theme="0" tint="-0.34998626667073579"/>
      </font>
      <fill>
        <patternFill patternType="lightUp">
          <fgColor theme="0" tint="-0.499984740745262"/>
          <bgColor theme="0" tint="-0.14996795556505021"/>
        </patternFill>
      </fill>
    </dxf>
    <dxf>
      <font>
        <strike/>
        <color theme="0" tint="-0.34998626667073579"/>
      </font>
      <fill>
        <patternFill patternType="lightUp">
          <fgColor theme="0" tint="-0.499984740745262"/>
          <bgColor theme="0" tint="-0.14996795556505021"/>
        </patternFill>
      </fill>
    </dxf>
    <dxf>
      <font>
        <strike/>
        <color theme="0" tint="-0.34998626667073579"/>
      </font>
      <fill>
        <patternFill patternType="lightUp">
          <fgColor theme="0" tint="-0.499984740745262"/>
          <bgColor theme="0" tint="-0.14996795556505021"/>
        </patternFill>
      </fill>
    </dxf>
    <dxf>
      <font>
        <strike/>
        <color theme="0" tint="-0.34998626667073579"/>
      </font>
      <fill>
        <patternFill patternType="lightUp">
          <fgColor theme="0" tint="-0.499984740745262"/>
          <bgColor theme="0" tint="-0.14996795556505021"/>
        </patternFill>
      </fill>
    </dxf>
    <dxf>
      <font>
        <strike/>
        <color theme="0" tint="-0.34998626667073579"/>
      </font>
      <fill>
        <patternFill patternType="lightUp">
          <fgColor theme="0" tint="-0.499984740745262"/>
          <bgColor theme="0" tint="-0.14996795556505021"/>
        </patternFill>
      </fill>
    </dxf>
    <dxf>
      <font>
        <strike/>
        <color theme="0" tint="-0.34998626667073579"/>
      </font>
      <fill>
        <patternFill patternType="lightUp">
          <fgColor theme="0" tint="-0.499984740745262"/>
          <bgColor theme="0" tint="-0.14996795556505021"/>
        </patternFill>
      </fill>
    </dxf>
    <dxf>
      <font>
        <strike/>
        <color theme="0" tint="-0.34998626667073579"/>
      </font>
      <fill>
        <patternFill patternType="lightUp">
          <fgColor theme="0" tint="-0.499984740745262"/>
          <bgColor theme="0" tint="-0.14996795556505021"/>
        </patternFill>
      </fill>
    </dxf>
    <dxf>
      <font>
        <strike/>
        <color theme="0" tint="-0.34998626667073579"/>
      </font>
      <fill>
        <patternFill patternType="lightUp">
          <fgColor theme="0" tint="-0.499984740745262"/>
          <bgColor theme="0" tint="-0.14996795556505021"/>
        </patternFill>
      </fill>
    </dxf>
    <dxf>
      <font>
        <strike/>
        <color theme="0" tint="-0.34998626667073579"/>
      </font>
      <fill>
        <patternFill patternType="lightUp">
          <fgColor theme="0" tint="-0.499984740745262"/>
          <bgColor theme="0" tint="-0.14996795556505021"/>
        </patternFill>
      </fill>
    </dxf>
    <dxf>
      <fill>
        <patternFill>
          <bgColor rgb="FFFF0000"/>
        </patternFill>
      </fill>
    </dxf>
    <dxf>
      <font>
        <color theme="0" tint="-0.499984740745262"/>
      </font>
      <fill>
        <patternFill patternType="lightUp">
          <fgColor theme="0" tint="-0.499984740745262"/>
          <bgColor theme="0" tint="-0.1499679555650502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C$13" lockText="1"/>
</file>

<file path=xl/ctrlProps/ctrlProp2.xml><?xml version="1.0" encoding="utf-8"?>
<formControlPr xmlns="http://schemas.microsoft.com/office/spreadsheetml/2009/9/main" objectType="CheckBox" checked="Checked" fmlaLink="$E$13" lockText="1"/>
</file>

<file path=xl/ctrlProps/ctrlProp3.xml><?xml version="1.0" encoding="utf-8"?>
<formControlPr xmlns="http://schemas.microsoft.com/office/spreadsheetml/2009/9/main" objectType="CheckBox" checked="Checked" fmlaLink="$G$13" lockText="1"/>
</file>

<file path=xl/ctrlProps/ctrlProp4.xml><?xml version="1.0" encoding="utf-8"?>
<formControlPr xmlns="http://schemas.microsoft.com/office/spreadsheetml/2009/9/main" objectType="CheckBox" fmlaLink="$I$13" lockText="1"/>
</file>

<file path=xl/ctrlProps/ctrlProp5.xml><?xml version="1.0" encoding="utf-8"?>
<formControlPr xmlns="http://schemas.microsoft.com/office/spreadsheetml/2009/9/main" objectType="CheckBox" checked="Checked" fmlaLink="$K$13" lockText="1"/>
</file>

<file path=xl/ctrlProps/ctrlProp6.xml><?xml version="1.0" encoding="utf-8"?>
<formControlPr xmlns="http://schemas.microsoft.com/office/spreadsheetml/2009/9/main" objectType="CheckBox" fmlaLink="$M$13" lockText="1"/>
</file>

<file path=xl/ctrlProps/ctrlProp7.xml><?xml version="1.0" encoding="utf-8"?>
<formControlPr xmlns="http://schemas.microsoft.com/office/spreadsheetml/2009/9/main" objectType="CheckBox" fmlaLink="$O$13" lockText="1"/>
</file>

<file path=xl/ctrlProps/ctrlProp8.xml><?xml version="1.0" encoding="utf-8"?>
<formControlPr xmlns="http://schemas.microsoft.com/office/spreadsheetml/2009/9/main" objectType="CheckBox" fmlaLink="$Q$13" lockText="1"/>
</file>

<file path=xl/ctrlProps/ctrlProp9.xml><?xml version="1.0" encoding="utf-8"?>
<formControlPr xmlns="http://schemas.microsoft.com/office/spreadsheetml/2009/9/main" objectType="CheckBox" fmlaLink="$S$13" lockText="1"/>
</file>

<file path=xl/ctrlProps/ctrlProp10.xml><?xml version="1.0" encoding="utf-8"?>
<formControlPr xmlns="http://schemas.microsoft.com/office/spreadsheetml/2009/9/main" objectType="Radio" firstButton="1" fmlaLink="APOIO!$O$2" lockText="1"/>
</file>

<file path=xl/ctrlProps/ctrlProp11.xml><?xml version="1.0" encoding="utf-8"?>
<formControlPr xmlns="http://schemas.microsoft.com/office/spreadsheetml/2009/9/main" objectType="Radio" lockText="1"/>
</file>

<file path=xl/ctrlProps/ctrlProp12.xml><?xml version="1.0" encoding="utf-8"?>
<formControlPr xmlns="http://schemas.microsoft.com/office/spreadsheetml/2009/9/main" objectType="Radio" lockText="1"/>
</file>

<file path=xl/ctrlProps/ctrlProp13.xml><?xml version="1.0" encoding="utf-8"?>
<formControlPr xmlns="http://schemas.microsoft.com/office/spreadsheetml/2009/9/main" objectType="Radio" lockText="1"/>
</file>

<file path=xl/ctrlProps/ctrlProp14.xml><?xml version="1.0" encoding="utf-8"?>
<formControlPr xmlns="http://schemas.microsoft.com/office/spreadsheetml/2009/9/main" objectType="Radio" lockText="1"/>
</file>

<file path=xl/ctrlProps/ctrlProp15.xml><?xml version="1.0" encoding="utf-8"?>
<formControlPr xmlns="http://schemas.microsoft.com/office/spreadsheetml/2009/9/main" objectType="Radio" checked="Checked" lockText="1"/>
</file>

<file path=xl/ctrlProps/ctrlProp16.xml><?xml version="1.0" encoding="utf-8"?>
<formControlPr xmlns="http://schemas.microsoft.com/office/spreadsheetml/2009/9/main" objectType="Radio" lockText="1"/>
</file>

<file path=xl/ctrlProps/ctrlProp17.xml><?xml version="1.0" encoding="utf-8"?>
<formControlPr xmlns="http://schemas.microsoft.com/office/spreadsheetml/2009/9/main" objectType="Radio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Radio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Radio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CheckBox" fmlaLink="APOIO!$Q$2" lockText="1" noThreeD="1"/>
</file>

<file path=xl/ctrlProps/ctrlProp3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249382</xdr:colOff>
      <xdr:row>14</xdr:row>
      <xdr:rowOff>83820</xdr:rowOff>
    </xdr:from>
    <xdr:to>
      <xdr:col>20</xdr:col>
      <xdr:colOff>419099</xdr:colOff>
      <xdr:row>16</xdr:row>
      <xdr:rowOff>60960</xdr:rowOff>
    </xdr:to>
    <xdr:sp macro="" textlink="">
      <xdr:nvSpPr>
        <xdr:cNvPr id="25" name="Chave direita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5400000">
          <a:off x="3138401" y="471401"/>
          <a:ext cx="342900" cy="6120937"/>
        </a:xfrm>
        <a:prstGeom prst="rightBrace">
          <a:avLst>
            <a:gd name="adj1" fmla="val 8333"/>
            <a:gd name="adj2" fmla="val 86490"/>
          </a:avLst>
        </a:prstGeom>
        <a:ln w="28575"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9700</xdr:colOff>
          <xdr:row>12</xdr:row>
          <xdr:rowOff>47625</xdr:rowOff>
        </xdr:from>
        <xdr:to>
          <xdr:col>19</xdr:col>
          <xdr:colOff>84635</xdr:colOff>
          <xdr:row>12</xdr:row>
          <xdr:rowOff>161925</xdr:rowOff>
        </xdr:to>
        <xdr:grpSp>
          <xdr:nvGrpSpPr>
            <xdr:cNvPr id="4" name="Grupo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657400" y="2686050"/>
              <a:ext cx="4808860" cy="114300"/>
              <a:chOff x="4720253" y="516774"/>
              <a:chExt cx="4951732" cy="189506"/>
            </a:xfrm>
            <a:solidFill>
              <a:schemeClr val="tx2">
                <a:lumMod val="60000"/>
                <a:lumOff val="40000"/>
                <a:alpha val="43000"/>
              </a:schemeClr>
            </a:solidFill>
            <a:scene3d>
              <a:camera prst="orthographicFront"/>
              <a:lightRig rig="harsh" dir="t"/>
            </a:scene3d>
          </xdr:grpSpPr>
          <xdr:sp macro="" textlink="">
            <xdr:nvSpPr>
              <xdr:cNvPr id="6147" name="Check Box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000-000003180000}"/>
                  </a:ext>
                </a:extLst>
              </xdr:cNvPr>
              <xdr:cNvSpPr/>
            </xdr:nvSpPr>
            <xdr:spPr bwMode="auto">
              <a:xfrm>
                <a:off x="4720253" y="516774"/>
                <a:ext cx="241190" cy="1895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8" name="Check Box 4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000-000004180000}"/>
                  </a:ext>
                </a:extLst>
              </xdr:cNvPr>
              <xdr:cNvSpPr/>
            </xdr:nvSpPr>
            <xdr:spPr bwMode="auto">
              <a:xfrm>
                <a:off x="5309063" y="516774"/>
                <a:ext cx="241190" cy="1895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9" name="Check Box 5" hidden="1">
                <a:extLst>
                  <a:ext uri="{63B3BB69-23CF-44E3-9099-C40C66FF867C}">
                    <a14:compatExt spid="_x0000_s6149"/>
                  </a:ext>
                  <a:ext uri="{FF2B5EF4-FFF2-40B4-BE49-F238E27FC236}">
                    <a16:creationId xmlns:a16="http://schemas.microsoft.com/office/drawing/2014/main" id="{00000000-0008-0000-0000-000005180000}"/>
                  </a:ext>
                </a:extLst>
              </xdr:cNvPr>
              <xdr:cNvSpPr/>
            </xdr:nvSpPr>
            <xdr:spPr bwMode="auto">
              <a:xfrm>
                <a:off x="5897881" y="516774"/>
                <a:ext cx="241190" cy="1895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0" name="Check Box 6" hidden="1">
                <a:extLst>
                  <a:ext uri="{63B3BB69-23CF-44E3-9099-C40C66FF867C}">
                    <a14:compatExt spid="_x0000_s6150"/>
                  </a:ext>
                  <a:ext uri="{FF2B5EF4-FFF2-40B4-BE49-F238E27FC236}">
                    <a16:creationId xmlns:a16="http://schemas.microsoft.com/office/drawing/2014/main" id="{00000000-0008-0000-0000-000006180000}"/>
                  </a:ext>
                </a:extLst>
              </xdr:cNvPr>
              <xdr:cNvSpPr/>
            </xdr:nvSpPr>
            <xdr:spPr bwMode="auto">
              <a:xfrm>
                <a:off x="6486699" y="516774"/>
                <a:ext cx="241190" cy="1895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1" name="Check Box 7" hidden="1">
                <a:extLst>
                  <a:ext uri="{63B3BB69-23CF-44E3-9099-C40C66FF867C}">
                    <a14:compatExt spid="_x0000_s6151"/>
                  </a:ext>
                  <a:ext uri="{FF2B5EF4-FFF2-40B4-BE49-F238E27FC236}">
                    <a16:creationId xmlns:a16="http://schemas.microsoft.com/office/drawing/2014/main" id="{00000000-0008-0000-0000-000007180000}"/>
                  </a:ext>
                </a:extLst>
              </xdr:cNvPr>
              <xdr:cNvSpPr/>
            </xdr:nvSpPr>
            <xdr:spPr bwMode="auto">
              <a:xfrm>
                <a:off x="7075517" y="516774"/>
                <a:ext cx="241190" cy="1895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2" name="Check Box 8" hidden="1">
                <a:extLst>
                  <a:ext uri="{63B3BB69-23CF-44E3-9099-C40C66FF867C}">
                    <a14:compatExt spid="_x0000_s6152"/>
                  </a:ext>
                  <a:ext uri="{FF2B5EF4-FFF2-40B4-BE49-F238E27FC236}">
                    <a16:creationId xmlns:a16="http://schemas.microsoft.com/office/drawing/2014/main" id="{00000000-0008-0000-0000-000008180000}"/>
                  </a:ext>
                </a:extLst>
              </xdr:cNvPr>
              <xdr:cNvSpPr/>
            </xdr:nvSpPr>
            <xdr:spPr bwMode="auto">
              <a:xfrm>
                <a:off x="7664336" y="516774"/>
                <a:ext cx="241190" cy="1895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3" name="Check Box 9" hidden="1">
                <a:extLst>
                  <a:ext uri="{63B3BB69-23CF-44E3-9099-C40C66FF867C}">
                    <a14:compatExt spid="_x0000_s6153"/>
                  </a:ext>
                  <a:ext uri="{FF2B5EF4-FFF2-40B4-BE49-F238E27FC236}">
                    <a16:creationId xmlns:a16="http://schemas.microsoft.com/office/drawing/2014/main" id="{00000000-0008-0000-0000-000009180000}"/>
                  </a:ext>
                </a:extLst>
              </xdr:cNvPr>
              <xdr:cNvSpPr/>
            </xdr:nvSpPr>
            <xdr:spPr bwMode="auto">
              <a:xfrm>
                <a:off x="8253154" y="516774"/>
                <a:ext cx="241190" cy="1895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4" name="Check Box 10" hidden="1">
                <a:extLst>
                  <a:ext uri="{63B3BB69-23CF-44E3-9099-C40C66FF867C}">
                    <a14:compatExt spid="_x0000_s6154"/>
                  </a:ext>
                  <a:ext uri="{FF2B5EF4-FFF2-40B4-BE49-F238E27FC236}">
                    <a16:creationId xmlns:a16="http://schemas.microsoft.com/office/drawing/2014/main" id="{00000000-0008-0000-0000-00000A180000}"/>
                  </a:ext>
                </a:extLst>
              </xdr:cNvPr>
              <xdr:cNvSpPr/>
            </xdr:nvSpPr>
            <xdr:spPr bwMode="auto">
              <a:xfrm>
                <a:off x="8841972" y="516774"/>
                <a:ext cx="241190" cy="1895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5" name="Check Box 11" hidden="1">
                <a:extLst>
                  <a:ext uri="{63B3BB69-23CF-44E3-9099-C40C66FF867C}">
                    <a14:compatExt spid="_x0000_s6155"/>
                  </a:ext>
                  <a:ext uri="{FF2B5EF4-FFF2-40B4-BE49-F238E27FC236}">
                    <a16:creationId xmlns:a16="http://schemas.microsoft.com/office/drawing/2014/main" id="{00000000-0008-0000-0000-00000B180000}"/>
                  </a:ext>
                </a:extLst>
              </xdr:cNvPr>
              <xdr:cNvSpPr/>
            </xdr:nvSpPr>
            <xdr:spPr bwMode="auto">
              <a:xfrm>
                <a:off x="9430795" y="516774"/>
                <a:ext cx="241190" cy="1895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19</xdr:col>
      <xdr:colOff>193965</xdr:colOff>
      <xdr:row>10</xdr:row>
      <xdr:rowOff>114300</xdr:rowOff>
    </xdr:from>
    <xdr:to>
      <xdr:col>20</xdr:col>
      <xdr:colOff>175260</xdr:colOff>
      <xdr:row>12</xdr:row>
      <xdr:rowOff>20782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5575590" y="2324100"/>
          <a:ext cx="390870" cy="335107"/>
          <a:chOff x="5895109" y="2209800"/>
          <a:chExt cx="623455" cy="318655"/>
        </a:xfrm>
      </xdr:grpSpPr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CxnSpPr/>
        </xdr:nvCxnSpPr>
        <xdr:spPr>
          <a:xfrm>
            <a:off x="5908964" y="2223655"/>
            <a:ext cx="609600" cy="0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/>
        </xdr:nvCxnSpPr>
        <xdr:spPr>
          <a:xfrm>
            <a:off x="5895109" y="2209800"/>
            <a:ext cx="0" cy="318655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228601</xdr:colOff>
      <xdr:row>9</xdr:row>
      <xdr:rowOff>121920</xdr:rowOff>
    </xdr:from>
    <xdr:to>
      <xdr:col>20</xdr:col>
      <xdr:colOff>190500</xdr:colOff>
      <xdr:row>11</xdr:row>
      <xdr:rowOff>173180</xdr:rowOff>
    </xdr:to>
    <xdr:grpSp>
      <xdr:nvGrpSpPr>
        <xdr:cNvPr id="45" name="Grupo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5038726" y="2103120"/>
          <a:ext cx="942974" cy="508460"/>
          <a:chOff x="5334000" y="2029691"/>
          <a:chExt cx="1191491" cy="484909"/>
        </a:xfrm>
      </xdr:grpSpPr>
      <xdr:cxnSp macro="">
        <xdr:nvCxnSpPr>
          <xdr:cNvPr id="46" name="Conector reto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>
            <a:off x="5334000" y="2029691"/>
            <a:ext cx="1191491" cy="0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Conector reto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>
            <a:off x="5334000" y="2029691"/>
            <a:ext cx="0" cy="484909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228601</xdr:colOff>
      <xdr:row>8</xdr:row>
      <xdr:rowOff>103909</xdr:rowOff>
    </xdr:from>
    <xdr:to>
      <xdr:col>20</xdr:col>
      <xdr:colOff>198120</xdr:colOff>
      <xdr:row>11</xdr:row>
      <xdr:rowOff>145471</xdr:rowOff>
    </xdr:to>
    <xdr:grpSp>
      <xdr:nvGrpSpPr>
        <xdr:cNvPr id="48" name="Grupo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4467226" y="1856509"/>
          <a:ext cx="1522094" cy="727362"/>
          <a:chOff x="5334000" y="2029691"/>
          <a:chExt cx="1191491" cy="484909"/>
        </a:xfrm>
      </xdr:grpSpPr>
      <xdr:cxnSp macro="">
        <xdr:nvCxnSpPr>
          <xdr:cNvPr id="49" name="Conector reto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>
            <a:off x="5334000" y="2029691"/>
            <a:ext cx="1191491" cy="0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Conector reto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>
            <a:off x="5334000" y="2029691"/>
            <a:ext cx="0" cy="484909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214745</xdr:colOff>
      <xdr:row>6</xdr:row>
      <xdr:rowOff>110836</xdr:rowOff>
    </xdr:from>
    <xdr:to>
      <xdr:col>20</xdr:col>
      <xdr:colOff>198120</xdr:colOff>
      <xdr:row>11</xdr:row>
      <xdr:rowOff>131617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3310370" y="1406236"/>
          <a:ext cx="2678950" cy="1163781"/>
          <a:chOff x="5334000" y="2029691"/>
          <a:chExt cx="1191491" cy="484909"/>
        </a:xfrm>
      </xdr:grpSpPr>
      <xdr:cxnSp macro="">
        <xdr:nvCxnSpPr>
          <xdr:cNvPr id="58" name="Conector reto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>
            <a:off x="5334000" y="2029691"/>
            <a:ext cx="1191491" cy="0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Conector reto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CxnSpPr/>
        </xdr:nvCxnSpPr>
        <xdr:spPr>
          <a:xfrm>
            <a:off x="5334000" y="2029691"/>
            <a:ext cx="0" cy="484909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228601</xdr:colOff>
      <xdr:row>5</xdr:row>
      <xdr:rowOff>103909</xdr:rowOff>
    </xdr:from>
    <xdr:to>
      <xdr:col>20</xdr:col>
      <xdr:colOff>190500</xdr:colOff>
      <xdr:row>11</xdr:row>
      <xdr:rowOff>145472</xdr:rowOff>
    </xdr:to>
    <xdr:grpSp>
      <xdr:nvGrpSpPr>
        <xdr:cNvPr id="60" name="Grup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2752726" y="1170709"/>
          <a:ext cx="3228974" cy="1413163"/>
          <a:chOff x="5334000" y="2029691"/>
          <a:chExt cx="1191491" cy="484909"/>
        </a:xfrm>
      </xdr:grpSpPr>
      <xdr:cxnSp macro="">
        <xdr:nvCxnSpPr>
          <xdr:cNvPr id="61" name="Conector reto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5334000" y="2029691"/>
            <a:ext cx="1191491" cy="0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Conector reto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CxnSpPr/>
        </xdr:nvCxnSpPr>
        <xdr:spPr>
          <a:xfrm>
            <a:off x="5334000" y="2029691"/>
            <a:ext cx="0" cy="484909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207819</xdr:colOff>
      <xdr:row>4</xdr:row>
      <xdr:rowOff>90055</xdr:rowOff>
    </xdr:from>
    <xdr:to>
      <xdr:col>20</xdr:col>
      <xdr:colOff>190500</xdr:colOff>
      <xdr:row>11</xdr:row>
      <xdr:rowOff>173181</xdr:rowOff>
    </xdr:to>
    <xdr:grpSp>
      <xdr:nvGrpSpPr>
        <xdr:cNvPr id="63" name="Grup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pSpPr/>
      </xdr:nvGrpSpPr>
      <xdr:grpSpPr>
        <a:xfrm>
          <a:off x="2160444" y="928255"/>
          <a:ext cx="3821256" cy="1683326"/>
          <a:chOff x="5334000" y="2029691"/>
          <a:chExt cx="1191491" cy="484909"/>
        </a:xfrm>
      </xdr:grpSpPr>
      <xdr:cxnSp macro="">
        <xdr:nvCxnSpPr>
          <xdr:cNvPr id="64" name="Conector reto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CxnSpPr/>
        </xdr:nvCxnSpPr>
        <xdr:spPr>
          <a:xfrm>
            <a:off x="5334000" y="2029691"/>
            <a:ext cx="1191491" cy="0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65" name="Conector reto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CxnSpPr/>
        </xdr:nvCxnSpPr>
        <xdr:spPr>
          <a:xfrm>
            <a:off x="5334000" y="2029691"/>
            <a:ext cx="0" cy="484909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214745</xdr:colOff>
      <xdr:row>2</xdr:row>
      <xdr:rowOff>96982</xdr:rowOff>
    </xdr:from>
    <xdr:to>
      <xdr:col>20</xdr:col>
      <xdr:colOff>190500</xdr:colOff>
      <xdr:row>11</xdr:row>
      <xdr:rowOff>152400</xdr:rowOff>
    </xdr:to>
    <xdr:grpSp>
      <xdr:nvGrpSpPr>
        <xdr:cNvPr id="69" name="Grupo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pSpPr/>
      </xdr:nvGrpSpPr>
      <xdr:grpSpPr>
        <a:xfrm>
          <a:off x="1024370" y="477982"/>
          <a:ext cx="4957330" cy="2112818"/>
          <a:chOff x="5334000" y="2029691"/>
          <a:chExt cx="1191491" cy="484909"/>
        </a:xfrm>
      </xdr:grpSpPr>
      <xdr:cxnSp macro="">
        <xdr:nvCxnSpPr>
          <xdr:cNvPr id="70" name="Conector reto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5334000" y="2029691"/>
            <a:ext cx="1191491" cy="0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71" name="Conector reto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34000" y="2029691"/>
            <a:ext cx="0" cy="484909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214745</xdr:colOff>
      <xdr:row>1</xdr:row>
      <xdr:rowOff>110836</xdr:rowOff>
    </xdr:from>
    <xdr:to>
      <xdr:col>20</xdr:col>
      <xdr:colOff>190500</xdr:colOff>
      <xdr:row>11</xdr:row>
      <xdr:rowOff>166253</xdr:rowOff>
    </xdr:to>
    <xdr:grpSp>
      <xdr:nvGrpSpPr>
        <xdr:cNvPr id="72" name="Grupo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pSpPr/>
      </xdr:nvGrpSpPr>
      <xdr:grpSpPr>
        <a:xfrm>
          <a:off x="452870" y="263236"/>
          <a:ext cx="5528830" cy="2341417"/>
          <a:chOff x="5334000" y="2029691"/>
          <a:chExt cx="1191491" cy="484909"/>
        </a:xfrm>
      </xdr:grpSpPr>
      <xdr:cxnSp macro="">
        <xdr:nvCxnSpPr>
          <xdr:cNvPr id="73" name="Conector reto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5334000" y="2029691"/>
            <a:ext cx="1191491" cy="0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74" name="Conector reto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5334000" y="2029691"/>
            <a:ext cx="0" cy="484909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221673</xdr:colOff>
      <xdr:row>3</xdr:row>
      <xdr:rowOff>117763</xdr:rowOff>
    </xdr:from>
    <xdr:to>
      <xdr:col>20</xdr:col>
      <xdr:colOff>198120</xdr:colOff>
      <xdr:row>11</xdr:row>
      <xdr:rowOff>173181</xdr:rowOff>
    </xdr:to>
    <xdr:grpSp>
      <xdr:nvGrpSpPr>
        <xdr:cNvPr id="75" name="Grupo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GrpSpPr/>
      </xdr:nvGrpSpPr>
      <xdr:grpSpPr>
        <a:xfrm>
          <a:off x="1602798" y="727363"/>
          <a:ext cx="4386522" cy="1884218"/>
          <a:chOff x="5334000" y="2029691"/>
          <a:chExt cx="1191491" cy="484909"/>
        </a:xfrm>
      </xdr:grpSpPr>
      <xdr:cxnSp macro="">
        <xdr:nvCxnSpPr>
          <xdr:cNvPr id="76" name="Conector reto 75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CxnSpPr/>
        </xdr:nvCxnSpPr>
        <xdr:spPr>
          <a:xfrm>
            <a:off x="5334000" y="2029691"/>
            <a:ext cx="1191491" cy="0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77" name="Conector reto 76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CxnSpPr/>
        </xdr:nvCxnSpPr>
        <xdr:spPr>
          <a:xfrm>
            <a:off x="5334000" y="2029691"/>
            <a:ext cx="0" cy="484909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221673</xdr:colOff>
      <xdr:row>7</xdr:row>
      <xdr:rowOff>110836</xdr:rowOff>
    </xdr:from>
    <xdr:to>
      <xdr:col>20</xdr:col>
      <xdr:colOff>205740</xdr:colOff>
      <xdr:row>11</xdr:row>
      <xdr:rowOff>159327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pSpPr/>
      </xdr:nvGrpSpPr>
      <xdr:grpSpPr>
        <a:xfrm>
          <a:off x="3888798" y="1634836"/>
          <a:ext cx="2108142" cy="962891"/>
          <a:chOff x="5334000" y="2029691"/>
          <a:chExt cx="1191491" cy="484909"/>
        </a:xfrm>
      </xdr:grpSpPr>
      <xdr:cxnSp macro="">
        <xdr:nvCxnSpPr>
          <xdr:cNvPr id="79" name="Conector reto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5334000" y="2029691"/>
            <a:ext cx="1191491" cy="0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0" name="Conector reto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5334000" y="2029691"/>
            <a:ext cx="0" cy="484909"/>
          </a:xfrm>
          <a:prstGeom prst="line">
            <a:avLst/>
          </a:prstGeom>
          <a:ln w="28575">
            <a:solidFill>
              <a:schemeClr val="tx1">
                <a:lumMod val="65000"/>
                <a:lumOff val="35000"/>
              </a:schemeClr>
            </a:solidFill>
            <a:tailEnd type="arrow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16</xdr:row>
          <xdr:rowOff>9525</xdr:rowOff>
        </xdr:from>
        <xdr:to>
          <xdr:col>19</xdr:col>
          <xdr:colOff>371475</xdr:colOff>
          <xdr:row>17</xdr:row>
          <xdr:rowOff>19050</xdr:rowOff>
        </xdr:to>
        <xdr:sp macro="" textlink="">
          <xdr:nvSpPr>
            <xdr:cNvPr id="6170" name="Button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 disponibilidade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600075</xdr:colOff>
          <xdr:row>17</xdr:row>
          <xdr:rowOff>38100</xdr:rowOff>
        </xdr:from>
        <xdr:to>
          <xdr:col>27</xdr:col>
          <xdr:colOff>9525</xdr:colOff>
          <xdr:row>18</xdr:row>
          <xdr:rowOff>114300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Registar uso no Banco de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133004</xdr:colOff>
          <xdr:row>13</xdr:row>
          <xdr:rowOff>317962</xdr:rowOff>
        </xdr:from>
        <xdr:to>
          <xdr:col>20</xdr:col>
          <xdr:colOff>441960</xdr:colOff>
          <xdr:row>14</xdr:row>
          <xdr:rowOff>124000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371129" y="3156412"/>
              <a:ext cx="5862031" cy="187038"/>
              <a:chOff x="536864" y="3137246"/>
              <a:chExt cx="6008719" cy="187038"/>
            </a:xfrm>
          </xdr:grpSpPr>
          <xdr:sp macro="" textlink="">
            <xdr:nvSpPr>
              <xdr:cNvPr id="6156" name="Option 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536864" y="3137246"/>
                <a:ext cx="198832" cy="18703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7" name="Option 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1113952" y="3137362"/>
                <a:ext cx="200903" cy="18058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8" name="Option 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E180000}"/>
                  </a:ext>
                </a:extLst>
              </xdr:cNvPr>
              <xdr:cNvSpPr/>
            </xdr:nvSpPr>
            <xdr:spPr bwMode="auto">
              <a:xfrm>
                <a:off x="1693113" y="3137362"/>
                <a:ext cx="208497" cy="18058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9" name="Option Button 15" hidden="1">
                <a:extLst>
                  <a:ext uri="{63B3BB69-23CF-44E3-9099-C40C66FF867C}">
                    <a14:compatExt spid="_x0000_s6159"/>
                  </a:ext>
                  <a:ext uri="{FF2B5EF4-FFF2-40B4-BE49-F238E27FC236}">
                    <a16:creationId xmlns:a16="http://schemas.microsoft.com/office/drawing/2014/main" id="{00000000-0008-0000-0000-00000F180000}"/>
                  </a:ext>
                </a:extLst>
              </xdr:cNvPr>
              <xdr:cNvSpPr/>
            </xdr:nvSpPr>
            <xdr:spPr bwMode="auto">
              <a:xfrm>
                <a:off x="2279868" y="3137362"/>
                <a:ext cx="208498" cy="18058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60" name="Option Button 16" hidden="1">
                <a:extLst>
                  <a:ext uri="{63B3BB69-23CF-44E3-9099-C40C66FF867C}">
                    <a14:compatExt spid="_x0000_s6160"/>
                  </a:ext>
                  <a:ext uri="{FF2B5EF4-FFF2-40B4-BE49-F238E27FC236}">
                    <a16:creationId xmlns:a16="http://schemas.microsoft.com/office/drawing/2014/main" id="{00000000-0008-0000-0000-000010180000}"/>
                  </a:ext>
                </a:extLst>
              </xdr:cNvPr>
              <xdr:cNvSpPr/>
            </xdr:nvSpPr>
            <xdr:spPr bwMode="auto">
              <a:xfrm>
                <a:off x="2866624" y="3137362"/>
                <a:ext cx="208498" cy="1727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61" name="Option Button 17" hidden="1">
                <a:extLst>
                  <a:ext uri="{63B3BB69-23CF-44E3-9099-C40C66FF867C}">
                    <a14:compatExt spid="_x0000_s6161"/>
                  </a:ext>
                  <a:ext uri="{FF2B5EF4-FFF2-40B4-BE49-F238E27FC236}">
                    <a16:creationId xmlns:a16="http://schemas.microsoft.com/office/drawing/2014/main" id="{00000000-0008-0000-0000-000011180000}"/>
                  </a:ext>
                </a:extLst>
              </xdr:cNvPr>
              <xdr:cNvSpPr/>
            </xdr:nvSpPr>
            <xdr:spPr bwMode="auto">
              <a:xfrm>
                <a:off x="3453380" y="3137362"/>
                <a:ext cx="216093" cy="1727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62" name="Option Button 18" hidden="1">
                <a:extLst>
                  <a:ext uri="{63B3BB69-23CF-44E3-9099-C40C66FF867C}">
                    <a14:compatExt spid="_x0000_s6162"/>
                  </a:ext>
                  <a:ext uri="{FF2B5EF4-FFF2-40B4-BE49-F238E27FC236}">
                    <a16:creationId xmlns:a16="http://schemas.microsoft.com/office/drawing/2014/main" id="{00000000-0008-0000-0000-000012180000}"/>
                  </a:ext>
                </a:extLst>
              </xdr:cNvPr>
              <xdr:cNvSpPr/>
            </xdr:nvSpPr>
            <xdr:spPr bwMode="auto">
              <a:xfrm>
                <a:off x="4047730" y="3137362"/>
                <a:ext cx="216092" cy="1727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63" name="Option Button 19" hidden="1">
                <a:extLst>
                  <a:ext uri="{63B3BB69-23CF-44E3-9099-C40C66FF867C}">
                    <a14:compatExt spid="_x0000_s6163"/>
                  </a:ext>
                  <a:ext uri="{FF2B5EF4-FFF2-40B4-BE49-F238E27FC236}">
                    <a16:creationId xmlns:a16="http://schemas.microsoft.com/office/drawing/2014/main" id="{00000000-0008-0000-0000-000013180000}"/>
                  </a:ext>
                </a:extLst>
              </xdr:cNvPr>
              <xdr:cNvSpPr/>
            </xdr:nvSpPr>
            <xdr:spPr bwMode="auto">
              <a:xfrm>
                <a:off x="4642080" y="3137362"/>
                <a:ext cx="216092" cy="1727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64" name="Option Button 20" hidden="1">
                <a:extLst>
                  <a:ext uri="{63B3BB69-23CF-44E3-9099-C40C66FF867C}">
                    <a14:compatExt spid="_x0000_s6164"/>
                  </a:ext>
                  <a:ext uri="{FF2B5EF4-FFF2-40B4-BE49-F238E27FC236}">
                    <a16:creationId xmlns:a16="http://schemas.microsoft.com/office/drawing/2014/main" id="{00000000-0008-0000-0000-000014180000}"/>
                  </a:ext>
                </a:extLst>
              </xdr:cNvPr>
              <xdr:cNvSpPr/>
            </xdr:nvSpPr>
            <xdr:spPr bwMode="auto">
              <a:xfrm>
                <a:off x="5236429" y="3137362"/>
                <a:ext cx="223687" cy="17270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65" name="Option Button 21" hidden="1">
                <a:extLst>
                  <a:ext uri="{63B3BB69-23CF-44E3-9099-C40C66FF867C}">
                    <a14:compatExt spid="_x0000_s6165"/>
                  </a:ext>
                  <a:ext uri="{FF2B5EF4-FFF2-40B4-BE49-F238E27FC236}">
                    <a16:creationId xmlns:a16="http://schemas.microsoft.com/office/drawing/2014/main" id="{00000000-0008-0000-0000-000015180000}"/>
                  </a:ext>
                </a:extLst>
              </xdr:cNvPr>
              <xdr:cNvSpPr/>
            </xdr:nvSpPr>
            <xdr:spPr bwMode="auto">
              <a:xfrm>
                <a:off x="5838369" y="3137362"/>
                <a:ext cx="223687" cy="17342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76" name="Option Button 32" hidden="1">
                <a:extLst>
                  <a:ext uri="{63B3BB69-23CF-44E3-9099-C40C66FF867C}">
                    <a14:compatExt spid="_x0000_s6176"/>
                  </a:ext>
                  <a:ext uri="{FF2B5EF4-FFF2-40B4-BE49-F238E27FC236}">
                    <a16:creationId xmlns:a16="http://schemas.microsoft.com/office/drawing/2014/main" id="{00000000-0008-0000-0000-000020180000}"/>
                  </a:ext>
                </a:extLst>
              </xdr:cNvPr>
              <xdr:cNvSpPr/>
            </xdr:nvSpPr>
            <xdr:spPr bwMode="auto">
              <a:xfrm>
                <a:off x="6316983" y="3137362"/>
                <a:ext cx="228600" cy="1676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28575</xdr:colOff>
          <xdr:row>16</xdr:row>
          <xdr:rowOff>0</xdr:rowOff>
        </xdr:from>
        <xdr:to>
          <xdr:col>27</xdr:col>
          <xdr:colOff>304800</xdr:colOff>
          <xdr:row>17</xdr:row>
          <xdr:rowOff>0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419100</xdr:colOff>
          <xdr:row>1</xdr:row>
          <xdr:rowOff>9525</xdr:rowOff>
        </xdr:from>
        <xdr:to>
          <xdr:col>21</xdr:col>
          <xdr:colOff>0</xdr:colOff>
          <xdr:row>1</xdr:row>
          <xdr:rowOff>200025</xdr:rowOff>
        </xdr:to>
        <xdr:sp macro="" textlink="">
          <xdr:nvSpPr>
            <xdr:cNvPr id="6182" name="Button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419100</xdr:colOff>
          <xdr:row>2</xdr:row>
          <xdr:rowOff>9525</xdr:rowOff>
        </xdr:from>
        <xdr:to>
          <xdr:col>21</xdr:col>
          <xdr:colOff>0</xdr:colOff>
          <xdr:row>2</xdr:row>
          <xdr:rowOff>200025</xdr:rowOff>
        </xdr:to>
        <xdr:sp macro="" textlink="">
          <xdr:nvSpPr>
            <xdr:cNvPr id="6183" name="Button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419100</xdr:colOff>
          <xdr:row>3</xdr:row>
          <xdr:rowOff>19050</xdr:rowOff>
        </xdr:from>
        <xdr:to>
          <xdr:col>21</xdr:col>
          <xdr:colOff>0</xdr:colOff>
          <xdr:row>3</xdr:row>
          <xdr:rowOff>200025</xdr:rowOff>
        </xdr:to>
        <xdr:sp macro="" textlink="">
          <xdr:nvSpPr>
            <xdr:cNvPr id="6184" name="Button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419100</xdr:colOff>
          <xdr:row>4</xdr:row>
          <xdr:rowOff>28575</xdr:rowOff>
        </xdr:from>
        <xdr:to>
          <xdr:col>21</xdr:col>
          <xdr:colOff>0</xdr:colOff>
          <xdr:row>4</xdr:row>
          <xdr:rowOff>209550</xdr:rowOff>
        </xdr:to>
        <xdr:sp macro="" textlink="">
          <xdr:nvSpPr>
            <xdr:cNvPr id="6185" name="Button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419100</xdr:colOff>
          <xdr:row>5</xdr:row>
          <xdr:rowOff>28575</xdr:rowOff>
        </xdr:from>
        <xdr:to>
          <xdr:col>21</xdr:col>
          <xdr:colOff>0</xdr:colOff>
          <xdr:row>5</xdr:row>
          <xdr:rowOff>209550</xdr:rowOff>
        </xdr:to>
        <xdr:sp macro="" textlink="">
          <xdr:nvSpPr>
            <xdr:cNvPr id="6186" name="Button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419100</xdr:colOff>
          <xdr:row>6</xdr:row>
          <xdr:rowOff>28575</xdr:rowOff>
        </xdr:from>
        <xdr:to>
          <xdr:col>21</xdr:col>
          <xdr:colOff>0</xdr:colOff>
          <xdr:row>6</xdr:row>
          <xdr:rowOff>209550</xdr:rowOff>
        </xdr:to>
        <xdr:sp macro="" textlink="">
          <xdr:nvSpPr>
            <xdr:cNvPr id="6187" name="Button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419100</xdr:colOff>
          <xdr:row>7</xdr:row>
          <xdr:rowOff>28575</xdr:rowOff>
        </xdr:from>
        <xdr:to>
          <xdr:col>21</xdr:col>
          <xdr:colOff>0</xdr:colOff>
          <xdr:row>7</xdr:row>
          <xdr:rowOff>209550</xdr:rowOff>
        </xdr:to>
        <xdr:sp macro="" textlink="">
          <xdr:nvSpPr>
            <xdr:cNvPr id="6188" name="Button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419100</xdr:colOff>
          <xdr:row>8</xdr:row>
          <xdr:rowOff>28575</xdr:rowOff>
        </xdr:from>
        <xdr:to>
          <xdr:col>21</xdr:col>
          <xdr:colOff>0</xdr:colOff>
          <xdr:row>8</xdr:row>
          <xdr:rowOff>219075</xdr:rowOff>
        </xdr:to>
        <xdr:sp macro="" textlink="">
          <xdr:nvSpPr>
            <xdr:cNvPr id="6189" name="Button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419100</xdr:colOff>
          <xdr:row>9</xdr:row>
          <xdr:rowOff>38100</xdr:rowOff>
        </xdr:from>
        <xdr:to>
          <xdr:col>21</xdr:col>
          <xdr:colOff>0</xdr:colOff>
          <xdr:row>10</xdr:row>
          <xdr:rowOff>0</xdr:rowOff>
        </xdr:to>
        <xdr:sp macro="" textlink="">
          <xdr:nvSpPr>
            <xdr:cNvPr id="6190" name="Button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419100</xdr:colOff>
          <xdr:row>10</xdr:row>
          <xdr:rowOff>38100</xdr:rowOff>
        </xdr:from>
        <xdr:to>
          <xdr:col>21</xdr:col>
          <xdr:colOff>0</xdr:colOff>
          <xdr:row>11</xdr:row>
          <xdr:rowOff>0</xdr:rowOff>
        </xdr:to>
        <xdr:sp macro="" textlink="">
          <xdr:nvSpPr>
            <xdr:cNvPr id="6191" name="Button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t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1</xdr:col>
          <xdr:colOff>95250</xdr:colOff>
          <xdr:row>7</xdr:row>
          <xdr:rowOff>152400</xdr:rowOff>
        </xdr:to>
        <xdr:sp macro="" textlink="">
          <xdr:nvSpPr>
            <xdr:cNvPr id="6193" name="Button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0" tIns="0" rIns="0" bIns="0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 Formulas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30480</xdr:colOff>
      <xdr:row>16</xdr:row>
      <xdr:rowOff>322481</xdr:rowOff>
    </xdr:from>
    <xdr:to>
      <xdr:col>20</xdr:col>
      <xdr:colOff>548640</xdr:colOff>
      <xdr:row>16</xdr:row>
      <xdr:rowOff>322481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>
          <a:off x="6060344" y="3850685"/>
          <a:ext cx="518160" cy="0"/>
        </a:xfrm>
        <a:prstGeom prst="straightConnector1">
          <a:avLst/>
        </a:prstGeom>
        <a:ln w="28575">
          <a:tailEnd type="arrow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304800</xdr:colOff>
          <xdr:row>10</xdr:row>
          <xdr:rowOff>200025</xdr:rowOff>
        </xdr:from>
        <xdr:to>
          <xdr:col>30</xdr:col>
          <xdr:colOff>76200</xdr:colOff>
          <xdr:row>11</xdr:row>
          <xdr:rowOff>190500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Gerar QRcod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106680</xdr:colOff>
      <xdr:row>0</xdr:row>
      <xdr:rowOff>76200</xdr:rowOff>
    </xdr:from>
    <xdr:to>
      <xdr:col>32</xdr:col>
      <xdr:colOff>327660</xdr:colOff>
      <xdr:row>2</xdr:row>
      <xdr:rowOff>53340</xdr:rowOff>
    </xdr:to>
    <xdr:sp macro="" textlink="">
      <xdr:nvSpPr>
        <xdr:cNvPr id="2" name="Texto explicativo retangula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964180" y="76200"/>
          <a:ext cx="1440180" cy="571500"/>
        </a:xfrm>
        <a:prstGeom prst="wedgeRectCallout">
          <a:avLst>
            <a:gd name="adj1" fmla="val -73970"/>
            <a:gd name="adj2" fmla="val 25174"/>
          </a:avLst>
        </a:prstGeom>
        <a:solidFill>
          <a:schemeClr val="bg1"/>
        </a:solidFill>
        <a:ln w="19050">
          <a:solidFill>
            <a:srgbClr val="FF0000"/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lIns="54000" tIns="0" rIns="0" bIns="0" rtlCol="0" anchor="t"/>
        <a:lstStyle/>
        <a:p>
          <a:pPr algn="l"/>
          <a:r>
            <a:rPr lang="pt-BR" sz="1600">
              <a:solidFill>
                <a:sysClr val="windowText" lastClr="000000"/>
              </a:solidFill>
            </a:rPr>
            <a:t>Insira</a:t>
          </a:r>
          <a:r>
            <a:rPr lang="pt-BR" sz="1600" baseline="0">
              <a:solidFill>
                <a:sysClr val="windowText" lastClr="000000"/>
              </a:solidFill>
            </a:rPr>
            <a:t> o rótulo do Seguimento aqui.</a:t>
          </a:r>
          <a:endParaRPr lang="pt-BR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472440</xdr:colOff>
      <xdr:row>0</xdr:row>
      <xdr:rowOff>15240</xdr:rowOff>
    </xdr:from>
    <xdr:to>
      <xdr:col>34</xdr:col>
      <xdr:colOff>601980</xdr:colOff>
      <xdr:row>2</xdr:row>
      <xdr:rowOff>83820</xdr:rowOff>
    </xdr:to>
    <xdr:sp macro="[0]!VOLTAR" textlink="">
      <xdr:nvSpPr>
        <xdr:cNvPr id="3" name="Seta para a direit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7995880" y="15240"/>
          <a:ext cx="1348740" cy="662940"/>
        </a:xfrm>
        <a:prstGeom prst="rightArrow">
          <a:avLst/>
        </a:prstGeom>
        <a:solidFill>
          <a:srgbClr val="C000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h="3175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800" b="1"/>
            <a:t>= Voltar =</a:t>
          </a:r>
        </a:p>
      </xdr:txBody>
    </xdr:sp>
    <xdr:clientData/>
  </xdr:twoCellAnchor>
  <xdr:twoCellAnchor>
    <xdr:from>
      <xdr:col>30</xdr:col>
      <xdr:colOff>137160</xdr:colOff>
      <xdr:row>3</xdr:row>
      <xdr:rowOff>53340</xdr:rowOff>
    </xdr:from>
    <xdr:to>
      <xdr:col>33</xdr:col>
      <xdr:colOff>99060</xdr:colOff>
      <xdr:row>7</xdr:row>
      <xdr:rowOff>83820</xdr:rowOff>
    </xdr:to>
    <xdr:sp macro="" textlink="">
      <xdr:nvSpPr>
        <xdr:cNvPr id="5" name="Texto explicativo retangula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788920" y="830580"/>
          <a:ext cx="1790700" cy="762000"/>
        </a:xfrm>
        <a:prstGeom prst="wedgeRectCallout">
          <a:avLst>
            <a:gd name="adj1" fmla="val -71681"/>
            <a:gd name="adj2" fmla="val -22600"/>
          </a:avLst>
        </a:prstGeom>
        <a:solidFill>
          <a:schemeClr val="bg1"/>
        </a:solidFill>
        <a:ln w="19050">
          <a:solidFill>
            <a:srgbClr val="FF0000"/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lIns="54000" tIns="0" rIns="0" bIns="0" rtlCol="0" anchor="t"/>
        <a:lstStyle/>
        <a:p>
          <a:pPr algn="l"/>
          <a:r>
            <a:rPr lang="pt-BR" sz="1600">
              <a:solidFill>
                <a:sysClr val="windowText" lastClr="000000"/>
              </a:solidFill>
            </a:rPr>
            <a:t>Insira</a:t>
          </a:r>
          <a:r>
            <a:rPr lang="pt-BR" sz="1600" baseline="0">
              <a:solidFill>
                <a:sysClr val="windowText" lastClr="000000"/>
              </a:solidFill>
            </a:rPr>
            <a:t> as descriçõe e códigos  do Seguimento aqui.</a:t>
          </a:r>
          <a:endParaRPr lang="pt-BR" sz="16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238125</xdr:colOff>
          <xdr:row>2</xdr:row>
          <xdr:rowOff>123825</xdr:rowOff>
        </xdr:from>
        <xdr:to>
          <xdr:col>14</xdr:col>
          <xdr:colOff>847725</xdr:colOff>
          <xdr:row>4</xdr:row>
          <xdr:rowOff>66675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 Formulas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>
    <pageSetUpPr fitToPage="1"/>
  </sheetPr>
  <dimension ref="B1:AG21"/>
  <sheetViews>
    <sheetView showGridLines="0" tabSelected="1" zoomScaleNormal="100" zoomScaleSheetLayoutView="100" workbookViewId="0">
      <selection activeCell="AI8" sqref="AI8"/>
    </sheetView>
  </sheetViews>
  <sheetFormatPr defaultRowHeight="15"/>
  <cols>
    <col min="1" max="1" width="3.5703125" customWidth="1"/>
    <col min="2" max="2" width="6.140625" customWidth="1"/>
    <col min="3" max="3" width="2.42578125" style="7" customWidth="1"/>
    <col min="4" max="4" width="6.140625" customWidth="1"/>
    <col min="5" max="5" width="2.42578125" style="7" customWidth="1"/>
    <col min="6" max="6" width="6.140625" customWidth="1"/>
    <col min="7" max="7" width="2.42578125" style="7" customWidth="1"/>
    <col min="8" max="8" width="6.140625" customWidth="1"/>
    <col min="9" max="9" width="2.42578125" style="7" customWidth="1"/>
    <col min="10" max="10" width="6.140625" customWidth="1"/>
    <col min="11" max="11" width="2.42578125" style="7" customWidth="1"/>
    <col min="12" max="12" width="6.140625" customWidth="1"/>
    <col min="13" max="13" width="2.42578125" style="7" customWidth="1"/>
    <col min="14" max="14" width="6.140625" customWidth="1"/>
    <col min="15" max="15" width="2.42578125" style="7" customWidth="1"/>
    <col min="16" max="16" width="6.140625" customWidth="1"/>
    <col min="17" max="17" width="2.42578125" style="7" customWidth="1"/>
    <col min="18" max="18" width="6.140625" customWidth="1"/>
    <col min="19" max="19" width="2.42578125" style="7" customWidth="1"/>
    <col min="20" max="20" width="6.140625" customWidth="1"/>
    <col min="21" max="21" width="8.85546875" style="11" customWidth="1"/>
    <col min="22" max="24" width="5.5703125" customWidth="1"/>
    <col min="25" max="25" width="12" customWidth="1"/>
    <col min="26" max="26" width="11.42578125" customWidth="1"/>
    <col min="27" max="27" width="9.42578125" customWidth="1"/>
    <col min="28" max="28" width="5.140625" style="11" customWidth="1"/>
    <col min="29" max="29" width="14" style="37" customWidth="1"/>
    <col min="30" max="30" width="8.7109375" style="5" hidden="1" customWidth="1"/>
    <col min="31" max="31" width="7.85546875" customWidth="1"/>
    <col min="32" max="32" width="7.140625" customWidth="1"/>
  </cols>
  <sheetData>
    <row r="1" spans="2:33" s="14" customFormat="1" ht="12.2" customHeight="1" thickBot="1">
      <c r="AB1" s="24"/>
      <c r="AC1" s="35"/>
    </row>
    <row r="2" spans="2:33" ht="18" customHeight="1" thickBot="1">
      <c r="U2" s="25">
        <v>1</v>
      </c>
      <c r="V2" s="79" t="s">
        <v>90</v>
      </c>
      <c r="W2" s="80"/>
      <c r="X2" s="80"/>
      <c r="Y2" s="80"/>
      <c r="Z2" s="80"/>
      <c r="AA2" s="81"/>
      <c r="AB2" s="6">
        <v>1</v>
      </c>
      <c r="AC2" s="36" t="str">
        <f>IF(APOIO!$O$2=1,"= S E R I A L =",IF(SEGUIMENTOS!A2&lt;&gt;0,SEGUIMENTOS!A2,""))</f>
        <v>UNIDADE</v>
      </c>
      <c r="AD2" s="16" t="str">
        <f>IF(APOIO!$O$2=1,APOIO!$I$7,IF(V2=0,"",V2))</f>
        <v>BAHIA</v>
      </c>
    </row>
    <row r="3" spans="2:33" ht="18" customHeight="1" thickBot="1">
      <c r="U3" s="25">
        <v>2</v>
      </c>
      <c r="V3" s="79" t="s">
        <v>79</v>
      </c>
      <c r="W3" s="80"/>
      <c r="X3" s="80"/>
      <c r="Y3" s="80"/>
      <c r="Z3" s="80"/>
      <c r="AA3" s="81"/>
      <c r="AB3" s="6">
        <v>2</v>
      </c>
      <c r="AC3" s="36" t="str">
        <f>IF(APOIO!$O$2=2,"= S E R I A L =",IF(SEGUIMENTOS!D2&lt;&gt;0,SEGUIMENTOS!D2,""))</f>
        <v>SUB-SISTEMA</v>
      </c>
      <c r="AD3" s="16" t="str">
        <f>IF(APOIO!$O$2=2,APOIO!$I$7,IF(V3=0,"",V3))</f>
        <v>(C)   Cozimento</v>
      </c>
    </row>
    <row r="4" spans="2:33" ht="18" customHeight="1" thickBot="1">
      <c r="U4" s="25">
        <v>3</v>
      </c>
      <c r="V4" s="79" t="s">
        <v>72</v>
      </c>
      <c r="W4" s="80"/>
      <c r="X4" s="80"/>
      <c r="Y4" s="80"/>
      <c r="Z4" s="80"/>
      <c r="AA4" s="81"/>
      <c r="AB4" s="6">
        <v>3</v>
      </c>
      <c r="AC4" s="36" t="str">
        <f>IF(APOIO!$O$2=3,"= S E R I A L =",IF(SEGUIMENTOS!G2&lt;&gt;0,SEGUIMENTOS!G2,""))</f>
        <v>ÁREA</v>
      </c>
      <c r="AD4" s="16" t="str">
        <f>IF(APOIO!$O$2=3,APOIO!$I$7,IF(V4=0,"",V4))</f>
        <v>(EFL)   Efluentes</v>
      </c>
    </row>
    <row r="5" spans="2:33" ht="18" customHeight="1" thickBot="1">
      <c r="U5" s="25">
        <v>4</v>
      </c>
      <c r="V5" s="79" t="s">
        <v>136</v>
      </c>
      <c r="W5" s="80"/>
      <c r="X5" s="80"/>
      <c r="Y5" s="80"/>
      <c r="Z5" s="80"/>
      <c r="AA5" s="81"/>
      <c r="AB5" s="6">
        <v>4</v>
      </c>
      <c r="AC5" s="36" t="str">
        <f>IF(APOIO!$O$2=4,"= S E R I A L =",IF(SEGUIMENTOS!J2&lt;&gt;0,SEGUIMENTOS!J2,""))</f>
        <v>SUB-AREA</v>
      </c>
      <c r="AD5" s="16" t="str">
        <f>IF(APOIO!$O$2=4,APOIO!$I$7,IF(V5=0,"",V5))</f>
        <v>Caldeira</v>
      </c>
    </row>
    <row r="6" spans="2:33" ht="18" customHeight="1" thickBot="1">
      <c r="U6" s="25">
        <v>5</v>
      </c>
      <c r="V6" s="79" t="s">
        <v>104</v>
      </c>
      <c r="W6" s="80"/>
      <c r="X6" s="80"/>
      <c r="Y6" s="80"/>
      <c r="Z6" s="80"/>
      <c r="AA6" s="81"/>
      <c r="AB6" s="6">
        <v>5</v>
      </c>
      <c r="AC6" s="36" t="str">
        <f>IF(APOIO!$O$2=5,"= S E R I A L =",IF(SEGUIMENTOS!M2&lt;&gt;0,SEGUIMENTOS!M2,""))</f>
        <v>SETOR</v>
      </c>
      <c r="AD6" s="16" t="str">
        <f>IF(APOIO!$O$2=5,APOIO!$I$7,IF(V6=0,"",V6))</f>
        <v>INJEÇÃO</v>
      </c>
    </row>
    <row r="7" spans="2:33" ht="18" customHeight="1" thickBot="1">
      <c r="I7" s="7" t="str">
        <f>IF(D4="",TEXT(1,REPT("0",H3)),TEXT(H7+1,REPT("0",H3)))</f>
        <v/>
      </c>
      <c r="U7" s="25">
        <v>6</v>
      </c>
      <c r="V7" s="79" t="s">
        <v>85</v>
      </c>
      <c r="W7" s="80"/>
      <c r="X7" s="80"/>
      <c r="Y7" s="80"/>
      <c r="Z7" s="80"/>
      <c r="AA7" s="81"/>
      <c r="AB7" s="6">
        <v>6</v>
      </c>
      <c r="AC7" s="36" t="str">
        <f>IF(APOIO!$O$2=6,"= S E R I A L =",IF(SEGUIMENTOS!P2&lt;&gt;0,SEGUIMENTOS!P2,""))</f>
        <v>= S E R I A L =</v>
      </c>
      <c r="AD7" s="16" t="str">
        <f>IF(APOIO!$O$2=6,APOIO!$I$7,IF(V7=0,"",V7))</f>
        <v>01</v>
      </c>
    </row>
    <row r="8" spans="2:33" ht="18" customHeight="1" thickBot="1">
      <c r="U8" s="25">
        <v>7</v>
      </c>
      <c r="V8" s="79"/>
      <c r="W8" s="80"/>
      <c r="X8" s="80"/>
      <c r="Y8" s="80"/>
      <c r="Z8" s="80"/>
      <c r="AA8" s="81"/>
      <c r="AB8" s="6">
        <v>7</v>
      </c>
      <c r="AC8" s="36" t="str">
        <f>IF(APOIO!$O$2=7,"= S E R I A L =",IF(SEGUIMENTOS!S2&lt;&gt;0,SEGUIMENTOS!S2,""))</f>
        <v>-</v>
      </c>
      <c r="AD8" s="16" t="str">
        <f>IF(APOIO!$O$2=7,APOIO!$I$7,IF(V8=0,"",V8))</f>
        <v/>
      </c>
    </row>
    <row r="9" spans="2:33" ht="18" customHeight="1" thickBot="1">
      <c r="U9" s="25">
        <v>8</v>
      </c>
      <c r="V9" s="79"/>
      <c r="W9" s="80"/>
      <c r="X9" s="80"/>
      <c r="Y9" s="80"/>
      <c r="Z9" s="80"/>
      <c r="AA9" s="81"/>
      <c r="AB9" s="6">
        <v>8</v>
      </c>
      <c r="AC9" s="36" t="str">
        <f>IF(APOIO!$O$2=8,"= S E R I A L =",IF(SEGUIMENTOS!V2&lt;&gt;0,SEGUIMENTOS!V2,""))</f>
        <v>-</v>
      </c>
      <c r="AD9" s="16" t="str">
        <f>IF(APOIO!$O$2=8,APOIO!$I$7,IF(V9=0,"",V9))</f>
        <v/>
      </c>
    </row>
    <row r="10" spans="2:33" ht="18" customHeight="1" thickBot="1">
      <c r="U10" s="25">
        <v>9</v>
      </c>
      <c r="V10" s="79"/>
      <c r="W10" s="80"/>
      <c r="X10" s="80"/>
      <c r="Y10" s="80"/>
      <c r="Z10" s="80"/>
      <c r="AA10" s="81"/>
      <c r="AB10" s="6">
        <v>9</v>
      </c>
      <c r="AC10" s="36" t="str">
        <f>IF(APOIO!$O$2=9,"= S E R I A L =",IF(SEGUIMENTOS!Y2&lt;&gt;0,SEGUIMENTOS!Y2,""))</f>
        <v>-</v>
      </c>
      <c r="AD10" s="16" t="str">
        <f>IF(APOIO!$O$2=9,APOIO!$I$7,IF(V10=0,"",V10))</f>
        <v/>
      </c>
    </row>
    <row r="11" spans="2:33" ht="18" customHeight="1" thickBot="1">
      <c r="U11" s="25">
        <v>10</v>
      </c>
      <c r="V11" s="79"/>
      <c r="W11" s="80"/>
      <c r="X11" s="80"/>
      <c r="Y11" s="80"/>
      <c r="Z11" s="80"/>
      <c r="AA11" s="81"/>
      <c r="AB11" s="6">
        <v>10</v>
      </c>
      <c r="AC11" s="36" t="str">
        <f>IF(APOIO!$O$2=10,"= S E R I A L =",IF(SEGUIMENTOS!AB2&lt;&gt;0,SEGUIMENTOS!AB2,""))</f>
        <v>-</v>
      </c>
      <c r="AD11" s="16" t="str">
        <f>IF(APOIO!$O$2=10,APOIO!$I$7,IF(V11=0,"",V11))</f>
        <v/>
      </c>
    </row>
    <row r="12" spans="2:33" ht="15.75" thickBot="1">
      <c r="Y12" s="82" t="s">
        <v>16</v>
      </c>
      <c r="Z12" s="82"/>
      <c r="AA12" s="82"/>
    </row>
    <row r="13" spans="2:33" s="5" customFormat="1" ht="16.350000000000001" customHeight="1">
      <c r="B13" s="10">
        <v>1</v>
      </c>
      <c r="C13" s="13" t="b">
        <v>1</v>
      </c>
      <c r="D13" s="10">
        <v>2</v>
      </c>
      <c r="E13" s="13" t="b">
        <v>1</v>
      </c>
      <c r="F13" s="10">
        <v>3</v>
      </c>
      <c r="G13" s="13" t="b">
        <v>1</v>
      </c>
      <c r="H13" s="10">
        <v>4</v>
      </c>
      <c r="I13" s="13" t="b">
        <v>0</v>
      </c>
      <c r="J13" s="10">
        <v>5</v>
      </c>
      <c r="K13" s="13" t="b">
        <v>1</v>
      </c>
      <c r="L13" s="10">
        <v>6</v>
      </c>
      <c r="M13" s="13" t="b">
        <v>0</v>
      </c>
      <c r="N13" s="10">
        <v>7</v>
      </c>
      <c r="O13" s="13" t="b">
        <v>0</v>
      </c>
      <c r="P13" s="10">
        <v>8</v>
      </c>
      <c r="Q13" s="13" t="b">
        <v>0</v>
      </c>
      <c r="R13" s="10">
        <v>9</v>
      </c>
      <c r="S13" s="13" t="b">
        <v>0</v>
      </c>
      <c r="T13" s="10">
        <v>10</v>
      </c>
      <c r="U13" s="12"/>
      <c r="Y13" s="21" t="s">
        <v>18</v>
      </c>
      <c r="Z13" s="26" t="s">
        <v>17</v>
      </c>
      <c r="AA13" s="22" t="s">
        <v>19</v>
      </c>
      <c r="AB13" s="12"/>
      <c r="AC13" s="69" t="str">
        <f>IF(AND(V17&lt;&gt;"",APOIO!Q2=TRUE),IFERROR(QrCode(V17),"Sem Conexão!"),"")</f>
        <v/>
      </c>
      <c r="AD13" s="70"/>
      <c r="AE13" s="70"/>
      <c r="AF13" s="71"/>
      <c r="AG13" s="39"/>
    </row>
    <row r="14" spans="2:33" ht="30.2" customHeight="1" thickBot="1">
      <c r="B14" s="8" t="str">
        <f ca="1">IF(APOIO!$O$2=1,"*",IF($V$2="-","",IFERROR(INDEX(Cód_1,MATCH($V$2,Seg_1,0)),"")))</f>
        <v>BA</v>
      </c>
      <c r="C14" s="9" t="s">
        <v>15</v>
      </c>
      <c r="D14" s="8" t="str">
        <f ca="1">IF(APOIO!$O$2=2,"*",IF($V$3="-","",IFERROR(INDEX(Cód_2,MATCH($V$3,Seg_2,0)),"")))</f>
        <v>C</v>
      </c>
      <c r="E14" s="9" t="s">
        <v>15</v>
      </c>
      <c r="F14" s="8" t="str">
        <f ca="1">IF(APOIO!$O$2=3,"*",IF($V$4="-","",IFERROR(INDEX(Cód_3,MATCH($V$4,Seg_3,0)),"")))</f>
        <v>EFL</v>
      </c>
      <c r="G14" s="9" t="s">
        <v>15</v>
      </c>
      <c r="H14" s="8" t="str">
        <f ca="1">IF(APOIO!$O$2=4,"*",IF($V$5="-","",IFERROR(INDEX(Cód_4,MATCH($V$5,Seg_4,0)),"")))</f>
        <v>009</v>
      </c>
      <c r="I14" s="9" t="s">
        <v>15</v>
      </c>
      <c r="J14" s="8" t="str">
        <f ca="1">IF(APOIO!$O$2=5,"*",IF($V$6="-","",IFERROR(INDEX(Cód_5,MATCH($V$6,Seg_5,0)),"")))</f>
        <v>ENA</v>
      </c>
      <c r="K14" s="9" t="s">
        <v>15</v>
      </c>
      <c r="L14" s="8" t="str">
        <f>IF(APOIO!$O$2=6,"*",IF($V$7="-","",IFERROR(INDEX(Cód_6,MATCH($V$7,Seg_6,0)),"")))</f>
        <v>*</v>
      </c>
      <c r="M14" s="9" t="s">
        <v>15</v>
      </c>
      <c r="N14" s="8" t="str">
        <f ca="1">IF(APOIO!$O$2=7,"*",IF($V$8="-","",IFERROR(INDEX(Cód_7,MATCH($V$8,Seg_7,0)),"")))</f>
        <v/>
      </c>
      <c r="O14" s="9" t="s">
        <v>15</v>
      </c>
      <c r="P14" s="8" t="str">
        <f ca="1">IF(APOIO!$O$2=8,"*",IF($V$9="-","",IFERROR(INDEX(Cód_8,MATCH($V$9,Seg_8,0)),"")))</f>
        <v/>
      </c>
      <c r="Q14" s="9" t="s">
        <v>15</v>
      </c>
      <c r="R14" s="8" t="str">
        <f ca="1">IF(APOIO!$O$2=9,"*",IF($V$10="-","",IFERROR(INDEX(Cód_9,MATCH($V$10,Seg_9,0)),"")))</f>
        <v/>
      </c>
      <c r="S14" s="9" t="s">
        <v>15</v>
      </c>
      <c r="T14" s="8" t="str">
        <f ca="1">IF(APOIO!$O$2=10,"*",IF($V$11="-","",IFERROR(INDEX(Cód_10,MATCH($V$11,Seg_10,0)),"")))</f>
        <v/>
      </c>
      <c r="U14" s="17" t="s">
        <v>26</v>
      </c>
      <c r="Y14" s="23">
        <v>2</v>
      </c>
      <c r="Z14" s="27">
        <v>1</v>
      </c>
      <c r="AA14" s="28">
        <v>99</v>
      </c>
      <c r="AB14"/>
      <c r="AC14" s="72"/>
      <c r="AD14" s="73"/>
      <c r="AE14" s="73"/>
      <c r="AF14" s="74"/>
      <c r="AG14" s="40"/>
    </row>
    <row r="15" spans="2:33">
      <c r="AC15" s="72"/>
      <c r="AD15" s="73"/>
      <c r="AE15" s="73"/>
      <c r="AF15" s="74"/>
      <c r="AG15" s="40"/>
    </row>
    <row r="16" spans="2:33" ht="14.25" customHeight="1">
      <c r="V16" s="16"/>
      <c r="W16" s="38"/>
      <c r="X16" s="38"/>
      <c r="Y16" s="38"/>
      <c r="Z16" s="38"/>
      <c r="AA16" s="38"/>
      <c r="AC16" s="72"/>
      <c r="AD16" s="73"/>
      <c r="AE16" s="73"/>
      <c r="AF16" s="74"/>
      <c r="AG16" s="40"/>
    </row>
    <row r="17" spans="2:33" ht="51.75" customHeight="1">
      <c r="B17" s="15" t="str">
        <f ca="1">CONCATENATE(B14,IF(C13=TRUE,C14,""),D14,IF(E13=TRUE,E14,""),F14,IF(G13=TRUE,G14,""),H14,IF(I13=TRUE,I14,""),J14,IF(K13=TRUE,K14,""),L14,IF(M13=TRUE,M14,""),N14,IF(O13=TRUE,O14,""),P14,IF(Q13=TRUE,Q14,""),R14,IF(S13=TRUE,S14,""),T14)</f>
        <v>BA-C-EFL-009ENA-*</v>
      </c>
      <c r="V17" s="78" t="s">
        <v>146</v>
      </c>
      <c r="W17" s="78"/>
      <c r="X17" s="78"/>
      <c r="Y17" s="78"/>
      <c r="Z17" s="78"/>
      <c r="AA17" s="78"/>
      <c r="AC17" s="72"/>
      <c r="AD17" s="73"/>
      <c r="AE17" s="73"/>
      <c r="AF17" s="74"/>
      <c r="AG17" s="40"/>
    </row>
    <row r="18" spans="2:33">
      <c r="AC18" s="72"/>
      <c r="AD18" s="73"/>
      <c r="AE18" s="73"/>
      <c r="AF18" s="74"/>
      <c r="AG18" s="40"/>
    </row>
    <row r="19" spans="2:33" ht="12.2" customHeight="1" thickBot="1">
      <c r="AC19" s="75"/>
      <c r="AD19" s="76"/>
      <c r="AE19" s="76"/>
      <c r="AF19" s="77"/>
      <c r="AG19" s="40"/>
    </row>
    <row r="21" spans="2:33" ht="59.25">
      <c r="V21" s="43"/>
      <c r="AC21" s="42"/>
      <c r="AE21" s="41"/>
    </row>
  </sheetData>
  <mergeCells count="13">
    <mergeCell ref="AC13:AF19"/>
    <mergeCell ref="V17:AA17"/>
    <mergeCell ref="V2:AA2"/>
    <mergeCell ref="V3:AA3"/>
    <mergeCell ref="V4:AA4"/>
    <mergeCell ref="V5:AA5"/>
    <mergeCell ref="V6:AA6"/>
    <mergeCell ref="V7:AA7"/>
    <mergeCell ref="V8:AA8"/>
    <mergeCell ref="V9:AA9"/>
    <mergeCell ref="V10:AA10"/>
    <mergeCell ref="V11:AA11"/>
    <mergeCell ref="Y12:AA12"/>
  </mergeCells>
  <conditionalFormatting sqref="B14 D14 F14 H14 J14 L14 N14 P14 R14 T14">
    <cfRule type="expression" dxfId="11" priority="22" stopIfTrue="1">
      <formula>OR(B$14="*",B$14="")</formula>
    </cfRule>
  </conditionalFormatting>
  <conditionalFormatting sqref="C14 E14 G14 I14 K14 M14 O14 Q14 S14">
    <cfRule type="expression" dxfId="10" priority="1">
      <formula>C$14="*"</formula>
    </cfRule>
  </conditionalFormatting>
  <dataValidations count="10">
    <dataValidation type="list" allowBlank="1" showInputMessage="1" showErrorMessage="1" sqref="V2:AA2" xr:uid="{00000000-0002-0000-0000-000000000000}">
      <formula1>Seg_1</formula1>
    </dataValidation>
    <dataValidation type="list" allowBlank="1" showInputMessage="1" showErrorMessage="1" sqref="V3:AA3" xr:uid="{00000000-0002-0000-0000-000001000000}">
      <formula1>Seg_2</formula1>
    </dataValidation>
    <dataValidation type="list" allowBlank="1" showInputMessage="1" showErrorMessage="1" sqref="V4:AA4" xr:uid="{00000000-0002-0000-0000-000002000000}">
      <formula1>Seg_3</formula1>
    </dataValidation>
    <dataValidation type="list" allowBlank="1" showInputMessage="1" showErrorMessage="1" sqref="V5:AA5" xr:uid="{00000000-0002-0000-0000-000003000000}">
      <formula1>Seg_4</formula1>
    </dataValidation>
    <dataValidation type="list" allowBlank="1" showInputMessage="1" showErrorMessage="1" sqref="V6:AA6" xr:uid="{00000000-0002-0000-0000-000004000000}">
      <formula1>Seg_5</formula1>
    </dataValidation>
    <dataValidation type="list" allowBlank="1" showInputMessage="1" showErrorMessage="1" sqref="V7:AA7" xr:uid="{00000000-0002-0000-0000-000005000000}">
      <formula1>Seg_6</formula1>
    </dataValidation>
    <dataValidation type="list" allowBlank="1" showInputMessage="1" showErrorMessage="1" sqref="V8:AA8" xr:uid="{00000000-0002-0000-0000-000006000000}">
      <formula1>Seg_7</formula1>
    </dataValidation>
    <dataValidation type="list" allowBlank="1" showInputMessage="1" showErrorMessage="1" sqref="V9:AA9" xr:uid="{00000000-0002-0000-0000-000007000000}">
      <formula1>Seg_8</formula1>
    </dataValidation>
    <dataValidation type="list" allowBlank="1" showInputMessage="1" showErrorMessage="1" sqref="V10:AA10" xr:uid="{00000000-0002-0000-0000-000008000000}">
      <formula1>Seg_9</formula1>
    </dataValidation>
    <dataValidation type="list" allowBlank="1" showInputMessage="1" showErrorMessage="1" sqref="V11:AA11" xr:uid="{00000000-0002-0000-0000-000009000000}">
      <formula1>Seg_10</formula1>
    </dataValidation>
  </dataValidations>
  <pageMargins left="0.51181102362204722" right="0.51181102362204722" top="0.78740157480314965" bottom="0.78740157480314965" header="0.31496062992125984" footer="0.31496062992125984"/>
  <pageSetup paperSize="9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47625</xdr:rowOff>
                  </from>
                  <to>
                    <xdr:col>3</xdr:col>
                    <xdr:colOff>85725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Check Box 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47625</xdr:rowOff>
                  </from>
                  <to>
                    <xdr:col>5</xdr:col>
                    <xdr:colOff>85725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47625</xdr:rowOff>
                  </from>
                  <to>
                    <xdr:col>7</xdr:col>
                    <xdr:colOff>85725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Check Box 6">
              <controlPr defaultSize="0" autoFill="0" autoLine="0" autoPict="0">
                <anchor moveWithCells="1">
                  <from>
                    <xdr:col>8</xdr:col>
                    <xdr:colOff>9525</xdr:colOff>
                    <xdr:row>12</xdr:row>
                    <xdr:rowOff>47625</xdr:rowOff>
                  </from>
                  <to>
                    <xdr:col>9</xdr:col>
                    <xdr:colOff>85725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8" name="Check Box 7">
              <controlPr defaultSize="0" autoFill="0" autoLine="0" autoPict="0">
                <anchor moveWithCells="1">
                  <from>
                    <xdr:col>10</xdr:col>
                    <xdr:colOff>9525</xdr:colOff>
                    <xdr:row>12</xdr:row>
                    <xdr:rowOff>47625</xdr:rowOff>
                  </from>
                  <to>
                    <xdr:col>11</xdr:col>
                    <xdr:colOff>85725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9" name="Check Box 8">
              <controlPr defaultSize="0" autoFill="0" autoLine="0" autoPict="0">
                <anchor moveWithCells="1">
                  <from>
                    <xdr:col>12</xdr:col>
                    <xdr:colOff>9525</xdr:colOff>
                    <xdr:row>12</xdr:row>
                    <xdr:rowOff>47625</xdr:rowOff>
                  </from>
                  <to>
                    <xdr:col>13</xdr:col>
                    <xdr:colOff>85725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0" name="Check Box 9">
              <controlPr defaultSize="0" autoFill="0" autoLine="0" autoPict="0">
                <anchor moveWithCells="1">
                  <from>
                    <xdr:col>14</xdr:col>
                    <xdr:colOff>9525</xdr:colOff>
                    <xdr:row>12</xdr:row>
                    <xdr:rowOff>47625</xdr:rowOff>
                  </from>
                  <to>
                    <xdr:col>15</xdr:col>
                    <xdr:colOff>85725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1" name="Check Box 10">
              <controlPr defaultSize="0" autoFill="0" autoLine="0" autoPict="0">
                <anchor moveWithCells="1">
                  <from>
                    <xdr:col>16</xdr:col>
                    <xdr:colOff>9525</xdr:colOff>
                    <xdr:row>12</xdr:row>
                    <xdr:rowOff>47625</xdr:rowOff>
                  </from>
                  <to>
                    <xdr:col>17</xdr:col>
                    <xdr:colOff>85725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2" name="Check Box 11">
              <controlPr defaultSize="0" autoFill="0" autoLine="0" autoPict="0">
                <anchor moveWithCells="1">
                  <from>
                    <xdr:col>18</xdr:col>
                    <xdr:colOff>9525</xdr:colOff>
                    <xdr:row>12</xdr:row>
                    <xdr:rowOff>47625</xdr:rowOff>
                  </from>
                  <to>
                    <xdr:col>19</xdr:col>
                    <xdr:colOff>85725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3" name="Option Button 12">
              <controlPr defaultSize="0" autoFill="0" autoLine="0" autoPict="0">
                <anchor moveWithCells="1">
                  <from>
                    <xdr:col>1</xdr:col>
                    <xdr:colOff>133350</xdr:colOff>
                    <xdr:row>13</xdr:row>
                    <xdr:rowOff>314325</xdr:rowOff>
                  </from>
                  <to>
                    <xdr:col>1</xdr:col>
                    <xdr:colOff>323850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4" name="Option Button 13">
              <controlPr defaultSize="0" autoFill="0" autoLine="0" autoPict="0">
                <anchor moveWithCells="1">
                  <from>
                    <xdr:col>3</xdr:col>
                    <xdr:colOff>123825</xdr:colOff>
                    <xdr:row>13</xdr:row>
                    <xdr:rowOff>314325</xdr:rowOff>
                  </from>
                  <to>
                    <xdr:col>3</xdr:col>
                    <xdr:colOff>323850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5" name="Option Button 14">
              <controlPr defaultSize="0" autoFill="0" autoLine="0" autoPict="0">
                <anchor moveWithCells="1">
                  <from>
                    <xdr:col>5</xdr:col>
                    <xdr:colOff>114300</xdr:colOff>
                    <xdr:row>13</xdr:row>
                    <xdr:rowOff>314325</xdr:rowOff>
                  </from>
                  <to>
                    <xdr:col>5</xdr:col>
                    <xdr:colOff>323850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6" name="Option Button 15">
              <controlPr defaultSize="0" autoFill="0" autoLine="0" autoPict="0">
                <anchor moveWithCells="1">
                  <from>
                    <xdr:col>7</xdr:col>
                    <xdr:colOff>114300</xdr:colOff>
                    <xdr:row>13</xdr:row>
                    <xdr:rowOff>314325</xdr:rowOff>
                  </from>
                  <to>
                    <xdr:col>7</xdr:col>
                    <xdr:colOff>323850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7" name="Option Button 16">
              <controlPr defaultSize="0" autoFill="0" autoLine="0" autoPict="0">
                <anchor moveWithCells="1">
                  <from>
                    <xdr:col>9</xdr:col>
                    <xdr:colOff>123825</xdr:colOff>
                    <xdr:row>13</xdr:row>
                    <xdr:rowOff>314325</xdr:rowOff>
                  </from>
                  <to>
                    <xdr:col>9</xdr:col>
                    <xdr:colOff>323850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8" name="Option Button 17">
              <controlPr defaultSize="0" autoFill="0" autoLine="0" autoPict="0">
                <anchor moveWithCells="1">
                  <from>
                    <xdr:col>11</xdr:col>
                    <xdr:colOff>123825</xdr:colOff>
                    <xdr:row>13</xdr:row>
                    <xdr:rowOff>314325</xdr:rowOff>
                  </from>
                  <to>
                    <xdr:col>11</xdr:col>
                    <xdr:colOff>333375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19" name="Option Button 18">
              <controlPr defaultSize="0" autoFill="0" autoLine="0" autoPict="0">
                <anchor moveWithCells="1">
                  <from>
                    <xdr:col>13</xdr:col>
                    <xdr:colOff>133350</xdr:colOff>
                    <xdr:row>13</xdr:row>
                    <xdr:rowOff>314325</xdr:rowOff>
                  </from>
                  <to>
                    <xdr:col>13</xdr:col>
                    <xdr:colOff>342900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0" name="Option Button 19">
              <controlPr defaultSize="0" autoFill="0" autoLine="0" autoPict="0">
                <anchor moveWithCells="1">
                  <from>
                    <xdr:col>15</xdr:col>
                    <xdr:colOff>133350</xdr:colOff>
                    <xdr:row>13</xdr:row>
                    <xdr:rowOff>314325</xdr:rowOff>
                  </from>
                  <to>
                    <xdr:col>15</xdr:col>
                    <xdr:colOff>352425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1" name="Option Button 20">
              <controlPr defaultSize="0" autoFill="0" autoLine="0" autoPict="0">
                <anchor moveWithCells="1">
                  <from>
                    <xdr:col>17</xdr:col>
                    <xdr:colOff>142875</xdr:colOff>
                    <xdr:row>13</xdr:row>
                    <xdr:rowOff>314325</xdr:rowOff>
                  </from>
                  <to>
                    <xdr:col>17</xdr:col>
                    <xdr:colOff>361950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" name="Option Button 21">
              <controlPr defaultSize="0" autoFill="0" autoLine="0" autoPict="0">
                <anchor moveWithCells="1">
                  <from>
                    <xdr:col>19</xdr:col>
                    <xdr:colOff>161925</xdr:colOff>
                    <xdr:row>13</xdr:row>
                    <xdr:rowOff>314325</xdr:rowOff>
                  </from>
                  <to>
                    <xdr:col>19</xdr:col>
                    <xdr:colOff>381000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" name="Button 26">
              <controlPr defaultSize="0" print="0" autoFill="0" autoPict="0" macro="[0]!FILTRO.Filtro">
                <anchor moveWithCells="1" sizeWithCells="1">
                  <from>
                    <xdr:col>13</xdr:col>
                    <xdr:colOff>304800</xdr:colOff>
                    <xdr:row>16</xdr:row>
                    <xdr:rowOff>9525</xdr:rowOff>
                  </from>
                  <to>
                    <xdr:col>19</xdr:col>
                    <xdr:colOff>371475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4" name="Button 27">
              <controlPr defaultSize="0" print="0" autoFill="0" autoPict="0" macro="[0]!INSERIR.INSERIR">
                <anchor moveWithCells="1" sizeWithCells="1">
                  <from>
                    <xdr:col>20</xdr:col>
                    <xdr:colOff>600075</xdr:colOff>
                    <xdr:row>17</xdr:row>
                    <xdr:rowOff>38100</xdr:rowOff>
                  </from>
                  <to>
                    <xdr:col>27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5" name="Option Button 32">
              <controlPr defaultSize="0" autoFill="0" autoLine="0" autoPict="0">
                <anchor moveWithCells="1">
                  <from>
                    <xdr:col>20</xdr:col>
                    <xdr:colOff>219075</xdr:colOff>
                    <xdr:row>13</xdr:row>
                    <xdr:rowOff>314325</xdr:rowOff>
                  </from>
                  <to>
                    <xdr:col>20</xdr:col>
                    <xdr:colOff>438150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6" name="Button 37">
              <controlPr defaultSize="0" print="0" autoFill="0" autoPict="0" macro="[0]!Limpar">
                <anchor moveWithCells="1" sizeWithCells="1">
                  <from>
                    <xdr:col>27</xdr:col>
                    <xdr:colOff>28575</xdr:colOff>
                    <xdr:row>16</xdr:row>
                    <xdr:rowOff>0</xdr:rowOff>
                  </from>
                  <to>
                    <xdr:col>27</xdr:col>
                    <xdr:colOff>304800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7" name="Button 38">
              <controlPr defaultSize="0" autoFill="0" autoPict="0" macro="[0]!Seguimentos.Seg_1">
                <anchor>
                  <from>
                    <xdr:col>20</xdr:col>
                    <xdr:colOff>419100</xdr:colOff>
                    <xdr:row>1</xdr:row>
                    <xdr:rowOff>9525</xdr:rowOff>
                  </from>
                  <to>
                    <xdr:col>20</xdr:col>
                    <xdr:colOff>600075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8" name="Button 39">
              <controlPr defaultSize="0" autoFill="0" autoPict="0" macro="[0]!Seguimentos.Seg_2">
                <anchor>
                  <from>
                    <xdr:col>20</xdr:col>
                    <xdr:colOff>419100</xdr:colOff>
                    <xdr:row>2</xdr:row>
                    <xdr:rowOff>9525</xdr:rowOff>
                  </from>
                  <to>
                    <xdr:col>20</xdr:col>
                    <xdr:colOff>600075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9" name="Button 40">
              <controlPr defaultSize="0" autoFill="0" autoPict="0" macro="[0]!Seguimentos.Seg_3">
                <anchor>
                  <from>
                    <xdr:col>20</xdr:col>
                    <xdr:colOff>419100</xdr:colOff>
                    <xdr:row>3</xdr:row>
                    <xdr:rowOff>19050</xdr:rowOff>
                  </from>
                  <to>
                    <xdr:col>20</xdr:col>
                    <xdr:colOff>600075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0" name="Button 41">
              <controlPr defaultSize="0" autoFill="0" autoPict="0" macro="[0]!Seguimentos.Seg_4">
                <anchor>
                  <from>
                    <xdr:col>20</xdr:col>
                    <xdr:colOff>419100</xdr:colOff>
                    <xdr:row>4</xdr:row>
                    <xdr:rowOff>28575</xdr:rowOff>
                  </from>
                  <to>
                    <xdr:col>20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1" name="Button 42">
              <controlPr defaultSize="0" autoFill="0" autoPict="0" macro="[0]!Seguimentos.Seg_5">
                <anchor>
                  <from>
                    <xdr:col>20</xdr:col>
                    <xdr:colOff>419100</xdr:colOff>
                    <xdr:row>5</xdr:row>
                    <xdr:rowOff>28575</xdr:rowOff>
                  </from>
                  <to>
                    <xdr:col>20</xdr:col>
                    <xdr:colOff>600075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2" name="Button 43">
              <controlPr defaultSize="0" autoFill="0" autoPict="0" macro="[0]!Seguimentos.Seg_6">
                <anchor>
                  <from>
                    <xdr:col>20</xdr:col>
                    <xdr:colOff>419100</xdr:colOff>
                    <xdr:row>6</xdr:row>
                    <xdr:rowOff>28575</xdr:rowOff>
                  </from>
                  <to>
                    <xdr:col>20</xdr:col>
                    <xdr:colOff>600075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3" name="Button 44">
              <controlPr defaultSize="0" autoFill="0" autoPict="0" macro="[0]!Seguimentos.Seg_7">
                <anchor>
                  <from>
                    <xdr:col>20</xdr:col>
                    <xdr:colOff>419100</xdr:colOff>
                    <xdr:row>7</xdr:row>
                    <xdr:rowOff>28575</xdr:rowOff>
                  </from>
                  <to>
                    <xdr:col>20</xdr:col>
                    <xdr:colOff>600075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34" name="Button 45">
              <controlPr defaultSize="0" autoFill="0" autoPict="0" macro="[0]!Seguimentos.Seg_8">
                <anchor>
                  <from>
                    <xdr:col>20</xdr:col>
                    <xdr:colOff>419100</xdr:colOff>
                    <xdr:row>8</xdr:row>
                    <xdr:rowOff>28575</xdr:rowOff>
                  </from>
                  <to>
                    <xdr:col>20</xdr:col>
                    <xdr:colOff>600075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35" name="Button 46">
              <controlPr defaultSize="0" autoFill="0" autoPict="0" macro="[0]!Seguimentos.Seg_9">
                <anchor>
                  <from>
                    <xdr:col>20</xdr:col>
                    <xdr:colOff>419100</xdr:colOff>
                    <xdr:row>9</xdr:row>
                    <xdr:rowOff>38100</xdr:rowOff>
                  </from>
                  <to>
                    <xdr:col>20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36" name="Button 47">
              <controlPr defaultSize="0" autoFill="0" autoPict="0" macro="[0]!Seguimentos.Seg_10">
                <anchor>
                  <from>
                    <xdr:col>20</xdr:col>
                    <xdr:colOff>419100</xdr:colOff>
                    <xdr:row>10</xdr:row>
                    <xdr:rowOff>38100</xdr:rowOff>
                  </from>
                  <to>
                    <xdr:col>20</xdr:col>
                    <xdr:colOff>600075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37" name="Button 49">
              <controlPr defaultSize="0" print="0" autoFill="0" autoPict="0" macro="[0]!REPOR_FORMULAR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1</xdr:col>
                    <xdr:colOff>95250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8" name="Check Box 51">
              <controlPr defaultSize="0" autoFill="0" autoLine="0" autoPict="0">
                <anchor moveWithCells="1">
                  <from>
                    <xdr:col>27</xdr:col>
                    <xdr:colOff>304800</xdr:colOff>
                    <xdr:row>10</xdr:row>
                    <xdr:rowOff>200025</xdr:rowOff>
                  </from>
                  <to>
                    <xdr:col>30</xdr:col>
                    <xdr:colOff>76200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3" stopIfTrue="1" id="{9A5B0517-6AD3-4643-A8D2-05058A90423F}">
            <xm:f>OR(APOIO!$O$2=1,$V$2="-",$V$2="")</xm:f>
            <x14:dxf>
              <font>
                <strike/>
                <color theme="0" tint="-0.34998626667073579"/>
              </font>
              <fill>
                <patternFill patternType="lightUp">
                  <fgColor theme="0" tint="-0.499984740745262"/>
                  <bgColor theme="0" tint="-0.14996795556505021"/>
                </patternFill>
              </fill>
            </x14:dxf>
          </x14:cfRule>
          <xm:sqref>V2</xm:sqref>
        </x14:conditionalFormatting>
        <x14:conditionalFormatting xmlns:xm="http://schemas.microsoft.com/office/excel/2006/main">
          <x14:cfRule type="expression" priority="64" stopIfTrue="1" id="{EB49533E-19EF-4DFE-AA6A-BE96C1E649CB}">
            <xm:f>OR(APOIO!$O$2=2,$V$3="-",$V$3="")</xm:f>
            <x14:dxf>
              <font>
                <strike/>
                <color theme="0" tint="-0.34998626667073579"/>
              </font>
              <fill>
                <patternFill patternType="lightUp">
                  <fgColor theme="0" tint="-0.499984740745262"/>
                  <bgColor theme="0" tint="-0.14996795556505021"/>
                </patternFill>
              </fill>
            </x14:dxf>
          </x14:cfRule>
          <xm:sqref>V3</xm:sqref>
        </x14:conditionalFormatting>
        <x14:conditionalFormatting xmlns:xm="http://schemas.microsoft.com/office/excel/2006/main">
          <x14:cfRule type="expression" priority="65" stopIfTrue="1" id="{5D44B547-4559-42F0-B63C-D748733C13AA}">
            <xm:f>OR(APOIO!$O$2=3,$V$4="-",$V$4="")</xm:f>
            <x14:dxf>
              <font>
                <strike/>
                <color theme="0" tint="-0.34998626667073579"/>
              </font>
              <fill>
                <patternFill patternType="lightUp">
                  <fgColor theme="0" tint="-0.499984740745262"/>
                  <bgColor theme="0" tint="-0.14996795556505021"/>
                </patternFill>
              </fill>
            </x14:dxf>
          </x14:cfRule>
          <xm:sqref>V4</xm:sqref>
        </x14:conditionalFormatting>
        <x14:conditionalFormatting xmlns:xm="http://schemas.microsoft.com/office/excel/2006/main">
          <x14:cfRule type="expression" priority="66" stopIfTrue="1" id="{C8A36BA8-9795-4D59-B788-47752A1B2DAE}">
            <xm:f>OR(APOIO!$O$2=4,$V$5="-",$V$5="")</xm:f>
            <x14:dxf>
              <font>
                <strike/>
                <color theme="0" tint="-0.34998626667073579"/>
              </font>
              <fill>
                <patternFill patternType="lightUp">
                  <fgColor theme="0" tint="-0.499984740745262"/>
                  <bgColor theme="0" tint="-0.14996795556505021"/>
                </patternFill>
              </fill>
            </x14:dxf>
          </x14:cfRule>
          <xm:sqref>V5</xm:sqref>
        </x14:conditionalFormatting>
        <x14:conditionalFormatting xmlns:xm="http://schemas.microsoft.com/office/excel/2006/main">
          <x14:cfRule type="expression" priority="67" stopIfTrue="1" id="{EAB90105-5E4D-4393-8634-3AFD1EB3E135}">
            <xm:f>OR(APOIO!$O$2=5,$V$6="-",$V$6="")</xm:f>
            <x14:dxf>
              <font>
                <strike/>
                <color theme="0" tint="-0.34998626667073579"/>
              </font>
              <fill>
                <patternFill patternType="lightUp">
                  <fgColor theme="0" tint="-0.499984740745262"/>
                  <bgColor theme="0" tint="-0.14996795556505021"/>
                </patternFill>
              </fill>
            </x14:dxf>
          </x14:cfRule>
          <xm:sqref>V6</xm:sqref>
        </x14:conditionalFormatting>
        <x14:conditionalFormatting xmlns:xm="http://schemas.microsoft.com/office/excel/2006/main">
          <x14:cfRule type="expression" priority="68" stopIfTrue="1" id="{E2C1EC92-39DF-42BD-A471-53396A65745D}">
            <xm:f>OR(APOIO!$O$2=6,$V$7="-",$V$7="")</xm:f>
            <x14:dxf>
              <font>
                <strike/>
                <color theme="0" tint="-0.34998626667073579"/>
              </font>
              <fill>
                <patternFill patternType="lightUp">
                  <fgColor theme="0" tint="-0.499984740745262"/>
                  <bgColor theme="0" tint="-0.14996795556505021"/>
                </patternFill>
              </fill>
            </x14:dxf>
          </x14:cfRule>
          <xm:sqref>V7</xm:sqref>
        </x14:conditionalFormatting>
        <x14:conditionalFormatting xmlns:xm="http://schemas.microsoft.com/office/excel/2006/main">
          <x14:cfRule type="expression" priority="69" stopIfTrue="1" id="{9CA43C48-369F-4973-AE89-393D92CAE29F}">
            <xm:f>OR(APOIO!$O$2=7,$V$8="-",$V$8="")</xm:f>
            <x14:dxf>
              <font>
                <strike/>
                <color theme="0" tint="-0.34998626667073579"/>
              </font>
              <fill>
                <patternFill patternType="lightUp">
                  <fgColor theme="0" tint="-0.499984740745262"/>
                  <bgColor theme="0" tint="-0.14996795556505021"/>
                </patternFill>
              </fill>
            </x14:dxf>
          </x14:cfRule>
          <xm:sqref>V8</xm:sqref>
        </x14:conditionalFormatting>
        <x14:conditionalFormatting xmlns:xm="http://schemas.microsoft.com/office/excel/2006/main">
          <x14:cfRule type="expression" priority="70" stopIfTrue="1" id="{2AE1BC5F-BDD1-434D-A19F-61AE74F2261B}">
            <xm:f>OR(APOIO!$O$2=8,$V$9="-",$V$9="")</xm:f>
            <x14:dxf>
              <font>
                <strike/>
                <color theme="0" tint="-0.34998626667073579"/>
              </font>
              <fill>
                <patternFill patternType="lightUp">
                  <fgColor theme="0" tint="-0.499984740745262"/>
                  <bgColor theme="0" tint="-0.14996795556505021"/>
                </patternFill>
              </fill>
            </x14:dxf>
          </x14:cfRule>
          <xm:sqref>V9</xm:sqref>
        </x14:conditionalFormatting>
        <x14:conditionalFormatting xmlns:xm="http://schemas.microsoft.com/office/excel/2006/main">
          <x14:cfRule type="expression" priority="71" stopIfTrue="1" id="{E84BE136-562A-46D7-A7AC-4DBCC4245E9B}">
            <xm:f>OR(APOIO!$O$2=9,$V$10="-",$V$10="")</xm:f>
            <x14:dxf>
              <font>
                <strike/>
                <color theme="0" tint="-0.34998626667073579"/>
              </font>
              <fill>
                <patternFill patternType="lightUp">
                  <fgColor theme="0" tint="-0.499984740745262"/>
                  <bgColor theme="0" tint="-0.14996795556505021"/>
                </patternFill>
              </fill>
            </x14:dxf>
          </x14:cfRule>
          <xm:sqref>V10</xm:sqref>
        </x14:conditionalFormatting>
        <x14:conditionalFormatting xmlns:xm="http://schemas.microsoft.com/office/excel/2006/main">
          <x14:cfRule type="expression" priority="72" stopIfTrue="1" id="{F961D723-6F9B-4755-A683-FCDA0DBCDD66}">
            <xm:f>OR(APOIO!$O$2=10,$V$11="-",$V$11="")</xm:f>
            <x14:dxf>
              <font>
                <strike/>
                <color theme="0" tint="-0.34998626667073579"/>
              </font>
              <fill>
                <patternFill patternType="lightUp">
                  <fgColor theme="0" tint="-0.499984740745262"/>
                  <bgColor theme="0" tint="-0.14996795556505021"/>
                </patternFill>
              </fill>
            </x14:dxf>
          </x14:cfRule>
          <xm:sqref>V11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B17"/>
  <sheetViews>
    <sheetView workbookViewId="0">
      <selection activeCell="F26" sqref="F26"/>
    </sheetView>
  </sheetViews>
  <sheetFormatPr defaultRowHeight="15"/>
  <cols>
    <col min="1" max="1" width="42.140625" bestFit="1" customWidth="1"/>
  </cols>
  <sheetData>
    <row r="1" spans="1:1" ht="23.25">
      <c r="A1" s="18" t="s">
        <v>143</v>
      </c>
    </row>
    <row r="2" spans="1:1" ht="23.25">
      <c r="A2" s="18" t="s">
        <v>64</v>
      </c>
    </row>
    <row r="3" spans="1:1" ht="23.25">
      <c r="A3" s="18" t="s">
        <v>144</v>
      </c>
    </row>
    <row r="4" spans="1:1" ht="23.25">
      <c r="A4" s="18" t="s">
        <v>65</v>
      </c>
    </row>
    <row r="17" spans="2:2" ht="31.5">
      <c r="B17" s="15" t="str">
        <f>CONCATENATE(B14,IF(C13=TRUE,C14,""),D14,IF(E13=TRUE,E14,""),F14,IF(G13=TRUE,G14,""),H14,IF(I13=TRUE,I14,""),J14,IF(K13=TRUE,K14,""),L14,IF(M13=TRUE,M14,""),N14,IF(O13=TRUE,O14,""),P14,IF(Q13=TRUE,Q14,""),R14,IF(S13=TRUE,S14,""),T14)</f>
        <v/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C270"/>
  <sheetViews>
    <sheetView showGridLines="0" zoomScaleNormal="100" workbookViewId="0">
      <pane ySplit="3" topLeftCell="A4" activePane="bottomLeft" state="frozen"/>
      <selection activeCell="J48" sqref="J48"/>
      <selection pane="bottomLeft" activeCell="S3" sqref="S3"/>
    </sheetView>
  </sheetViews>
  <sheetFormatPr defaultRowHeight="15"/>
  <cols>
    <col min="1" max="1" width="29.42578125" customWidth="1"/>
    <col min="2" max="2" width="8.140625" customWidth="1"/>
    <col min="3" max="3" width="2.140625" customWidth="1"/>
    <col min="4" max="4" width="27.7109375" style="4" customWidth="1"/>
    <col min="5" max="5" width="6.5703125" customWidth="1"/>
    <col min="6" max="6" width="2.140625" customWidth="1"/>
    <col min="7" max="7" width="27.42578125" customWidth="1"/>
    <col min="8" max="8" width="8.5703125" customWidth="1"/>
    <col min="9" max="9" width="2.140625" customWidth="1"/>
    <col min="10" max="10" width="27.5703125" customWidth="1"/>
    <col min="11" max="11" width="8.5703125" style="2" customWidth="1"/>
    <col min="12" max="12" width="2.140625" customWidth="1"/>
    <col min="13" max="13" width="27.5703125" customWidth="1"/>
    <col min="14" max="14" width="8.5703125" style="2" customWidth="1"/>
    <col min="15" max="15" width="2.140625" customWidth="1"/>
    <col min="16" max="16" width="27.5703125" customWidth="1"/>
    <col min="17" max="17" width="8.5703125" customWidth="1"/>
    <col min="18" max="18" width="2.140625" customWidth="1"/>
    <col min="19" max="19" width="27.5703125" style="4" customWidth="1"/>
    <col min="20" max="20" width="8.5703125" customWidth="1"/>
    <col min="21" max="21" width="2.140625" customWidth="1"/>
    <col min="22" max="22" width="27.5703125" customWidth="1"/>
    <col min="23" max="23" width="8.5703125" customWidth="1"/>
    <col min="24" max="24" width="2.140625" customWidth="1"/>
    <col min="25" max="25" width="27.5703125" customWidth="1"/>
    <col min="26" max="26" width="8.5703125" style="6" customWidth="1"/>
    <col min="27" max="27" width="2.140625" customWidth="1"/>
    <col min="28" max="28" width="27.5703125" customWidth="1"/>
    <col min="29" max="29" width="8.5703125" style="6" customWidth="1"/>
    <col min="30" max="30" width="2.140625" customWidth="1"/>
    <col min="31" max="31" width="8.85546875" customWidth="1"/>
  </cols>
  <sheetData>
    <row r="1" spans="1:29" ht="23.25">
      <c r="A1" s="84" t="s">
        <v>3</v>
      </c>
      <c r="B1" s="84"/>
      <c r="D1" s="84" t="s">
        <v>6</v>
      </c>
      <c r="E1" s="84"/>
      <c r="G1" s="84" t="s">
        <v>9</v>
      </c>
      <c r="H1" s="84"/>
      <c r="J1" s="84" t="s">
        <v>8</v>
      </c>
      <c r="K1" s="84"/>
      <c r="M1" s="84" t="s">
        <v>7</v>
      </c>
      <c r="N1" s="84"/>
      <c r="P1" s="84" t="s">
        <v>10</v>
      </c>
      <c r="Q1" s="84"/>
      <c r="S1" s="84" t="s">
        <v>11</v>
      </c>
      <c r="T1" s="84"/>
      <c r="V1" s="84" t="s">
        <v>12</v>
      </c>
      <c r="W1" s="84"/>
      <c r="Y1" s="84" t="s">
        <v>13</v>
      </c>
      <c r="Z1" s="84"/>
      <c r="AB1" s="84" t="s">
        <v>14</v>
      </c>
      <c r="AC1" s="84"/>
    </row>
    <row r="2" spans="1:29" s="7" customFormat="1" ht="23.25">
      <c r="A2" s="83" t="s">
        <v>142</v>
      </c>
      <c r="B2" s="83"/>
      <c r="D2" s="83" t="s">
        <v>61</v>
      </c>
      <c r="E2" s="83"/>
      <c r="G2" s="83" t="s">
        <v>62</v>
      </c>
      <c r="H2" s="83"/>
      <c r="J2" s="83" t="s">
        <v>63</v>
      </c>
      <c r="K2" s="83"/>
      <c r="M2" s="83" t="s">
        <v>148</v>
      </c>
      <c r="N2" s="83"/>
      <c r="P2" s="83" t="s">
        <v>15</v>
      </c>
      <c r="Q2" s="83"/>
      <c r="S2" s="83" t="s">
        <v>15</v>
      </c>
      <c r="T2" s="83"/>
      <c r="V2" s="83" t="s">
        <v>15</v>
      </c>
      <c r="W2" s="83"/>
      <c r="Y2" s="83" t="s">
        <v>15</v>
      </c>
      <c r="Z2" s="83"/>
      <c r="AB2" s="83" t="s">
        <v>15</v>
      </c>
      <c r="AC2" s="83"/>
    </row>
    <row r="3" spans="1:29">
      <c r="A3" s="3" t="s">
        <v>4</v>
      </c>
      <c r="B3" s="3" t="s">
        <v>5</v>
      </c>
      <c r="D3" s="3" t="s">
        <v>4</v>
      </c>
      <c r="E3" s="3" t="s">
        <v>5</v>
      </c>
      <c r="G3" s="3" t="s">
        <v>4</v>
      </c>
      <c r="H3" s="3" t="s">
        <v>5</v>
      </c>
      <c r="J3" s="3" t="s">
        <v>4</v>
      </c>
      <c r="K3" s="3" t="s">
        <v>5</v>
      </c>
      <c r="M3" s="3" t="s">
        <v>4</v>
      </c>
      <c r="N3" s="3" t="s">
        <v>5</v>
      </c>
      <c r="P3" s="3" t="s">
        <v>4</v>
      </c>
      <c r="Q3" s="3" t="s">
        <v>5</v>
      </c>
      <c r="S3" s="3" t="s">
        <v>4</v>
      </c>
      <c r="T3" s="3" t="s">
        <v>5</v>
      </c>
      <c r="V3" s="3" t="s">
        <v>4</v>
      </c>
      <c r="W3" s="3" t="s">
        <v>5</v>
      </c>
      <c r="Y3" s="3" t="s">
        <v>4</v>
      </c>
      <c r="Z3" s="3" t="s">
        <v>5</v>
      </c>
      <c r="AB3" s="3" t="s">
        <v>4</v>
      </c>
      <c r="AC3" s="3" t="s">
        <v>5</v>
      </c>
    </row>
    <row r="4" spans="1:29">
      <c r="A4" s="5" t="s">
        <v>15</v>
      </c>
      <c r="B4" s="5" t="s">
        <v>15</v>
      </c>
      <c r="C4" s="5"/>
      <c r="D4" s="5" t="s">
        <v>15</v>
      </c>
      <c r="E4" s="5" t="s">
        <v>15</v>
      </c>
      <c r="F4" s="5"/>
      <c r="G4" s="5" t="s">
        <v>15</v>
      </c>
      <c r="H4" s="5" t="s">
        <v>15</v>
      </c>
      <c r="I4" s="5"/>
      <c r="J4" s="5" t="s">
        <v>15</v>
      </c>
      <c r="K4" s="5" t="s">
        <v>15</v>
      </c>
      <c r="L4" s="5"/>
      <c r="M4" s="5" t="s">
        <v>15</v>
      </c>
      <c r="N4" s="5" t="s">
        <v>15</v>
      </c>
      <c r="O4" s="5"/>
      <c r="P4" s="5" t="s">
        <v>15</v>
      </c>
      <c r="Q4" s="5" t="s">
        <v>15</v>
      </c>
      <c r="R4" s="5"/>
      <c r="S4" s="5" t="s">
        <v>15</v>
      </c>
      <c r="T4" s="5" t="s">
        <v>15</v>
      </c>
      <c r="U4" s="5"/>
      <c r="V4" s="5" t="s">
        <v>15</v>
      </c>
      <c r="W4" s="5" t="s">
        <v>15</v>
      </c>
      <c r="X4" s="5"/>
      <c r="Y4" s="5" t="s">
        <v>15</v>
      </c>
      <c r="Z4" s="5" t="s">
        <v>15</v>
      </c>
      <c r="AA4" s="5"/>
      <c r="AB4" s="5" t="s">
        <v>15</v>
      </c>
      <c r="AC4" s="5" t="s">
        <v>15</v>
      </c>
    </row>
    <row r="5" spans="1:29">
      <c r="A5" t="s">
        <v>90</v>
      </c>
      <c r="B5" s="6" t="s">
        <v>95</v>
      </c>
      <c r="D5" s="4" t="s">
        <v>77</v>
      </c>
      <c r="E5" s="6" t="s">
        <v>32</v>
      </c>
      <c r="G5" t="s">
        <v>67</v>
      </c>
      <c r="H5" s="5" t="s">
        <v>31</v>
      </c>
      <c r="J5" t="s">
        <v>128</v>
      </c>
      <c r="K5" s="6" t="s">
        <v>47</v>
      </c>
      <c r="M5" s="16" t="s">
        <v>98</v>
      </c>
      <c r="N5" s="5" t="s">
        <v>99</v>
      </c>
      <c r="O5" s="5"/>
      <c r="P5" s="5" t="s">
        <v>85</v>
      </c>
      <c r="Q5" s="5">
        <v>6</v>
      </c>
      <c r="R5" s="5"/>
      <c r="S5" s="5" t="s">
        <v>86</v>
      </c>
      <c r="T5" s="5">
        <v>7</v>
      </c>
      <c r="U5" s="5"/>
      <c r="V5" s="5" t="s">
        <v>87</v>
      </c>
      <c r="W5" s="5">
        <v>8</v>
      </c>
      <c r="X5" s="5"/>
      <c r="Y5" s="5" t="s">
        <v>88</v>
      </c>
      <c r="Z5" s="5">
        <v>9</v>
      </c>
      <c r="AA5" s="5"/>
      <c r="AB5" s="5" t="s">
        <v>89</v>
      </c>
      <c r="AC5" s="5">
        <v>10</v>
      </c>
    </row>
    <row r="6" spans="1:29">
      <c r="A6" t="s">
        <v>91</v>
      </c>
      <c r="B6" s="6" t="s">
        <v>96</v>
      </c>
      <c r="D6" s="4" t="s">
        <v>78</v>
      </c>
      <c r="E6" s="6" t="s">
        <v>0</v>
      </c>
      <c r="G6" t="s">
        <v>68</v>
      </c>
      <c r="H6" s="5" t="s">
        <v>38</v>
      </c>
      <c r="J6" t="s">
        <v>129</v>
      </c>
      <c r="K6" s="6" t="s">
        <v>48</v>
      </c>
      <c r="M6" t="s">
        <v>100</v>
      </c>
      <c r="N6" s="6" t="s">
        <v>101</v>
      </c>
    </row>
    <row r="7" spans="1:29">
      <c r="A7" t="s">
        <v>92</v>
      </c>
      <c r="B7" s="6" t="s">
        <v>97</v>
      </c>
      <c r="D7" s="4" t="s">
        <v>79</v>
      </c>
      <c r="E7" s="6" t="s">
        <v>34</v>
      </c>
      <c r="G7" t="s">
        <v>69</v>
      </c>
      <c r="H7" s="5" t="s">
        <v>41</v>
      </c>
      <c r="J7" t="s">
        <v>130</v>
      </c>
      <c r="K7" s="6" t="s">
        <v>49</v>
      </c>
      <c r="M7" t="s">
        <v>102</v>
      </c>
      <c r="N7" s="6" t="s">
        <v>103</v>
      </c>
    </row>
    <row r="8" spans="1:29">
      <c r="A8" t="s">
        <v>93</v>
      </c>
      <c r="B8" s="6" t="s">
        <v>94</v>
      </c>
      <c r="D8" s="4" t="s">
        <v>80</v>
      </c>
      <c r="E8" s="6" t="s">
        <v>35</v>
      </c>
      <c r="G8" t="s">
        <v>70</v>
      </c>
      <c r="H8" s="5" t="s">
        <v>42</v>
      </c>
      <c r="J8" t="s">
        <v>131</v>
      </c>
      <c r="K8" s="6" t="s">
        <v>50</v>
      </c>
      <c r="M8" t="s">
        <v>104</v>
      </c>
      <c r="N8" s="6" t="s">
        <v>105</v>
      </c>
    </row>
    <row r="9" spans="1:29">
      <c r="D9" s="4" t="s">
        <v>81</v>
      </c>
      <c r="E9" s="6" t="s">
        <v>30</v>
      </c>
      <c r="G9" t="s">
        <v>71</v>
      </c>
      <c r="H9" s="5" t="s">
        <v>43</v>
      </c>
      <c r="J9" t="s">
        <v>132</v>
      </c>
      <c r="K9" s="6" t="s">
        <v>51</v>
      </c>
      <c r="M9" t="s">
        <v>106</v>
      </c>
      <c r="N9" s="6" t="s">
        <v>107</v>
      </c>
    </row>
    <row r="10" spans="1:29">
      <c r="D10" s="4" t="s">
        <v>82</v>
      </c>
      <c r="E10" s="6" t="s">
        <v>36</v>
      </c>
      <c r="G10" t="s">
        <v>72</v>
      </c>
      <c r="H10" s="5" t="s">
        <v>39</v>
      </c>
      <c r="J10" t="s">
        <v>133</v>
      </c>
      <c r="K10" s="6" t="s">
        <v>52</v>
      </c>
      <c r="M10" t="s">
        <v>108</v>
      </c>
      <c r="N10" s="6" t="s">
        <v>109</v>
      </c>
    </row>
    <row r="11" spans="1:29">
      <c r="D11" s="4" t="s">
        <v>83</v>
      </c>
      <c r="E11" s="6" t="s">
        <v>37</v>
      </c>
      <c r="G11" t="s">
        <v>73</v>
      </c>
      <c r="H11" s="5" t="s">
        <v>40</v>
      </c>
      <c r="J11" t="s">
        <v>134</v>
      </c>
      <c r="K11" s="6" t="s">
        <v>53</v>
      </c>
      <c r="M11" t="s">
        <v>110</v>
      </c>
      <c r="N11" s="6" t="s">
        <v>111</v>
      </c>
    </row>
    <row r="12" spans="1:29">
      <c r="D12" s="4" t="s">
        <v>84</v>
      </c>
      <c r="E12" s="6" t="s">
        <v>33</v>
      </c>
      <c r="G12" t="s">
        <v>74</v>
      </c>
      <c r="H12" s="5" t="s">
        <v>44</v>
      </c>
      <c r="J12" t="s">
        <v>135</v>
      </c>
      <c r="K12" s="6" t="s">
        <v>54</v>
      </c>
      <c r="M12" t="s">
        <v>112</v>
      </c>
      <c r="N12" s="6" t="s">
        <v>113</v>
      </c>
    </row>
    <row r="13" spans="1:29">
      <c r="G13" t="s">
        <v>75</v>
      </c>
      <c r="H13" s="5" t="s">
        <v>45</v>
      </c>
      <c r="J13" t="s">
        <v>136</v>
      </c>
      <c r="K13" s="6" t="s">
        <v>55</v>
      </c>
      <c r="M13" t="s">
        <v>114</v>
      </c>
      <c r="N13" s="6" t="s">
        <v>115</v>
      </c>
    </row>
    <row r="14" spans="1:29">
      <c r="G14" t="s">
        <v>76</v>
      </c>
      <c r="H14" s="5" t="s">
        <v>46</v>
      </c>
      <c r="J14" t="s">
        <v>137</v>
      </c>
      <c r="K14" s="6" t="s">
        <v>56</v>
      </c>
      <c r="M14" t="s">
        <v>116</v>
      </c>
      <c r="N14" s="6" t="s">
        <v>117</v>
      </c>
    </row>
    <row r="15" spans="1:29">
      <c r="J15" t="s">
        <v>138</v>
      </c>
      <c r="K15" s="6" t="s">
        <v>57</v>
      </c>
      <c r="N15" s="6"/>
    </row>
    <row r="16" spans="1:29">
      <c r="J16" t="s">
        <v>139</v>
      </c>
      <c r="K16" s="6" t="s">
        <v>58</v>
      </c>
      <c r="N16" s="6"/>
    </row>
    <row r="17" spans="1:14">
      <c r="J17" t="s">
        <v>140</v>
      </c>
      <c r="K17" s="6" t="s">
        <v>59</v>
      </c>
      <c r="N17" s="6"/>
    </row>
    <row r="18" spans="1:14">
      <c r="J18" t="s">
        <v>141</v>
      </c>
      <c r="K18" s="6" t="s">
        <v>60</v>
      </c>
      <c r="N18" s="6"/>
    </row>
    <row r="19" spans="1:14">
      <c r="K19" s="6"/>
      <c r="N19" s="6"/>
    </row>
    <row r="20" spans="1:14">
      <c r="K20" s="6"/>
      <c r="N20" s="6"/>
    </row>
    <row r="21" spans="1:14">
      <c r="K21" s="6"/>
      <c r="N21" s="6"/>
    </row>
    <row r="22" spans="1:14">
      <c r="K22" s="6"/>
      <c r="N22" s="6"/>
    </row>
    <row r="23" spans="1:14">
      <c r="K23" s="6"/>
      <c r="N23" s="6"/>
    </row>
    <row r="24" spans="1:14">
      <c r="K24" s="6"/>
      <c r="N24" s="6"/>
    </row>
    <row r="25" spans="1:14">
      <c r="K25" s="6"/>
      <c r="N25" s="6"/>
    </row>
    <row r="26" spans="1:14">
      <c r="K26" s="6"/>
      <c r="N26" s="6"/>
    </row>
    <row r="27" spans="1:14">
      <c r="K27" s="6"/>
      <c r="N27" s="6"/>
    </row>
    <row r="28" spans="1:14">
      <c r="K28" s="6"/>
      <c r="N28" s="6"/>
    </row>
    <row r="29" spans="1:14">
      <c r="A29" s="1"/>
      <c r="K29" s="6"/>
      <c r="N29" s="6"/>
    </row>
    <row r="30" spans="1:14">
      <c r="K30" s="6"/>
      <c r="N30" s="6"/>
    </row>
    <row r="31" spans="1:14">
      <c r="K31" s="6"/>
      <c r="N31" s="6"/>
    </row>
    <row r="32" spans="1:14">
      <c r="K32" s="6"/>
      <c r="N32" s="6"/>
    </row>
    <row r="33" spans="11:14">
      <c r="K33" s="6"/>
      <c r="N33" s="6"/>
    </row>
    <row r="34" spans="11:14">
      <c r="K34" s="6"/>
      <c r="N34" s="6"/>
    </row>
    <row r="35" spans="11:14">
      <c r="K35" s="6"/>
      <c r="N35" s="6"/>
    </row>
    <row r="36" spans="11:14">
      <c r="K36" s="6"/>
      <c r="N36" s="6"/>
    </row>
    <row r="37" spans="11:14">
      <c r="K37" s="6"/>
      <c r="N37" s="6"/>
    </row>
    <row r="38" spans="11:14">
      <c r="K38" s="6"/>
      <c r="N38" s="6"/>
    </row>
    <row r="39" spans="11:14">
      <c r="K39" s="6"/>
      <c r="N39" s="6"/>
    </row>
    <row r="40" spans="11:14">
      <c r="K40" s="6"/>
      <c r="N40" s="6"/>
    </row>
    <row r="41" spans="11:14">
      <c r="K41" s="6"/>
      <c r="N41" s="6"/>
    </row>
    <row r="42" spans="11:14">
      <c r="K42" s="6"/>
      <c r="N42" s="6"/>
    </row>
    <row r="43" spans="11:14">
      <c r="K43" s="6"/>
      <c r="N43" s="6"/>
    </row>
    <row r="44" spans="11:14">
      <c r="K44" s="6"/>
      <c r="N44" s="6"/>
    </row>
    <row r="45" spans="11:14">
      <c r="K45" s="6"/>
      <c r="N45" s="6"/>
    </row>
    <row r="46" spans="11:14">
      <c r="K46" s="6"/>
      <c r="N46" s="6"/>
    </row>
    <row r="47" spans="11:14">
      <c r="K47" s="6"/>
      <c r="N47" s="6"/>
    </row>
    <row r="48" spans="11:14">
      <c r="K48" s="6"/>
      <c r="N48" s="6"/>
    </row>
    <row r="49" spans="11:14">
      <c r="K49" s="6"/>
      <c r="N49" s="6"/>
    </row>
    <row r="50" spans="11:14">
      <c r="K50" s="6"/>
      <c r="N50" s="6"/>
    </row>
    <row r="51" spans="11:14">
      <c r="K51" s="6"/>
      <c r="N51" s="6"/>
    </row>
    <row r="52" spans="11:14">
      <c r="K52" s="6"/>
      <c r="N52" s="6"/>
    </row>
    <row r="53" spans="11:14">
      <c r="K53" s="6"/>
      <c r="N53" s="6"/>
    </row>
    <row r="54" spans="11:14">
      <c r="K54" s="6"/>
      <c r="N54" s="6"/>
    </row>
    <row r="55" spans="11:14">
      <c r="K55" s="6"/>
      <c r="N55" s="6"/>
    </row>
    <row r="56" spans="11:14">
      <c r="K56" s="6"/>
      <c r="N56" s="6"/>
    </row>
    <row r="57" spans="11:14">
      <c r="K57" s="6"/>
      <c r="N57" s="6"/>
    </row>
    <row r="58" spans="11:14">
      <c r="K58" s="6"/>
      <c r="N58" s="6"/>
    </row>
    <row r="59" spans="11:14">
      <c r="K59" s="6"/>
      <c r="N59" s="6"/>
    </row>
    <row r="60" spans="11:14">
      <c r="K60" s="6"/>
      <c r="N60" s="6"/>
    </row>
    <row r="61" spans="11:14">
      <c r="K61" s="6"/>
      <c r="N61" s="6"/>
    </row>
    <row r="62" spans="11:14">
      <c r="K62" s="6"/>
      <c r="N62" s="6"/>
    </row>
    <row r="63" spans="11:14">
      <c r="K63" s="6"/>
      <c r="N63" s="6"/>
    </row>
    <row r="64" spans="11:14">
      <c r="K64" s="6"/>
      <c r="N64" s="6"/>
    </row>
    <row r="65" spans="11:14">
      <c r="K65" s="6"/>
      <c r="N65" s="6"/>
    </row>
    <row r="66" spans="11:14">
      <c r="K66" s="6"/>
      <c r="N66" s="6"/>
    </row>
    <row r="67" spans="11:14">
      <c r="K67" s="6"/>
      <c r="N67" s="6"/>
    </row>
    <row r="68" spans="11:14">
      <c r="K68" s="6"/>
      <c r="N68" s="6"/>
    </row>
    <row r="69" spans="11:14">
      <c r="K69" s="6"/>
      <c r="N69" s="6"/>
    </row>
    <row r="70" spans="11:14">
      <c r="K70" s="6"/>
      <c r="N70" s="6"/>
    </row>
    <row r="71" spans="11:14">
      <c r="K71" s="6"/>
      <c r="N71" s="6"/>
    </row>
    <row r="72" spans="11:14">
      <c r="K72" s="6"/>
      <c r="N72" s="6"/>
    </row>
    <row r="73" spans="11:14">
      <c r="K73" s="6"/>
      <c r="N73" s="6"/>
    </row>
    <row r="74" spans="11:14">
      <c r="K74" s="6"/>
      <c r="N74" s="6"/>
    </row>
    <row r="75" spans="11:14">
      <c r="K75" s="6"/>
      <c r="N75" s="6"/>
    </row>
    <row r="76" spans="11:14">
      <c r="K76" s="6"/>
      <c r="N76" s="6"/>
    </row>
    <row r="77" spans="11:14">
      <c r="K77" s="6"/>
      <c r="N77" s="6"/>
    </row>
    <row r="78" spans="11:14">
      <c r="K78" s="6"/>
      <c r="N78" s="6"/>
    </row>
    <row r="79" spans="11:14">
      <c r="K79" s="6"/>
      <c r="N79" s="6"/>
    </row>
    <row r="80" spans="11:14">
      <c r="K80" s="6"/>
      <c r="N80" s="6"/>
    </row>
    <row r="81" spans="11:14">
      <c r="K81" s="6"/>
      <c r="N81" s="6"/>
    </row>
    <row r="82" spans="11:14">
      <c r="K82" s="6"/>
      <c r="N82" s="6"/>
    </row>
    <row r="83" spans="11:14">
      <c r="K83" s="6"/>
      <c r="N83" s="6"/>
    </row>
    <row r="84" spans="11:14">
      <c r="K84" s="6"/>
      <c r="N84" s="6"/>
    </row>
    <row r="85" spans="11:14">
      <c r="K85" s="6"/>
      <c r="N85" s="6"/>
    </row>
    <row r="86" spans="11:14">
      <c r="K86" s="6"/>
      <c r="N86" s="6"/>
    </row>
    <row r="87" spans="11:14">
      <c r="K87" s="6"/>
      <c r="N87" s="6"/>
    </row>
    <row r="88" spans="11:14">
      <c r="K88" s="6"/>
      <c r="N88" s="6"/>
    </row>
    <row r="89" spans="11:14">
      <c r="K89" s="6"/>
      <c r="N89" s="6"/>
    </row>
    <row r="90" spans="11:14">
      <c r="K90" s="6"/>
      <c r="N90" s="6"/>
    </row>
    <row r="91" spans="11:14">
      <c r="K91" s="6"/>
      <c r="N91" s="6"/>
    </row>
    <row r="92" spans="11:14">
      <c r="K92" s="6"/>
      <c r="N92" s="6"/>
    </row>
    <row r="93" spans="11:14">
      <c r="K93" s="6"/>
      <c r="N93" s="6"/>
    </row>
    <row r="94" spans="11:14">
      <c r="K94" s="6"/>
      <c r="N94" s="6"/>
    </row>
    <row r="95" spans="11:14">
      <c r="K95" s="6"/>
      <c r="N95" s="6"/>
    </row>
    <row r="96" spans="11:14">
      <c r="K96" s="6"/>
      <c r="N96" s="6"/>
    </row>
    <row r="97" spans="11:14">
      <c r="K97" s="6"/>
      <c r="N97" s="6"/>
    </row>
    <row r="98" spans="11:14">
      <c r="K98" s="6"/>
      <c r="N98" s="6"/>
    </row>
    <row r="99" spans="11:14">
      <c r="K99" s="6"/>
      <c r="N99" s="6"/>
    </row>
    <row r="100" spans="11:14">
      <c r="K100" s="6"/>
      <c r="N100" s="6"/>
    </row>
    <row r="101" spans="11:14">
      <c r="K101" s="6"/>
      <c r="N101" s="6"/>
    </row>
    <row r="102" spans="11:14">
      <c r="K102" s="6"/>
      <c r="N102" s="6"/>
    </row>
    <row r="103" spans="11:14">
      <c r="K103" s="6"/>
      <c r="N103" s="6"/>
    </row>
    <row r="104" spans="11:14">
      <c r="K104" s="6"/>
      <c r="N104" s="6"/>
    </row>
    <row r="105" spans="11:14">
      <c r="K105" s="6"/>
      <c r="N105" s="6"/>
    </row>
    <row r="106" spans="11:14">
      <c r="K106" s="6"/>
      <c r="N106" s="6"/>
    </row>
    <row r="107" spans="11:14">
      <c r="K107" s="6"/>
      <c r="N107" s="6"/>
    </row>
    <row r="108" spans="11:14">
      <c r="K108" s="6"/>
      <c r="N108" s="6"/>
    </row>
    <row r="109" spans="11:14">
      <c r="K109" s="6"/>
      <c r="N109" s="6"/>
    </row>
    <row r="110" spans="11:14">
      <c r="K110" s="6"/>
      <c r="N110" s="6"/>
    </row>
    <row r="111" spans="11:14">
      <c r="K111" s="6"/>
      <c r="N111" s="6"/>
    </row>
    <row r="112" spans="11:14">
      <c r="K112" s="6"/>
      <c r="N112" s="6"/>
    </row>
    <row r="113" spans="11:14">
      <c r="K113" s="6"/>
      <c r="N113" s="6"/>
    </row>
    <row r="114" spans="11:14">
      <c r="K114" s="6"/>
      <c r="N114" s="6"/>
    </row>
    <row r="115" spans="11:14">
      <c r="K115" s="6"/>
      <c r="N115" s="6"/>
    </row>
    <row r="116" spans="11:14">
      <c r="K116" s="6"/>
      <c r="N116" s="6"/>
    </row>
    <row r="117" spans="11:14">
      <c r="K117" s="6"/>
      <c r="N117" s="6"/>
    </row>
    <row r="118" spans="11:14">
      <c r="K118" s="6"/>
      <c r="N118" s="6"/>
    </row>
    <row r="119" spans="11:14">
      <c r="K119" s="6"/>
      <c r="N119" s="6"/>
    </row>
    <row r="120" spans="11:14">
      <c r="K120" s="6"/>
      <c r="N120" s="6"/>
    </row>
    <row r="121" spans="11:14">
      <c r="K121" s="6"/>
      <c r="N121" s="6"/>
    </row>
    <row r="122" spans="11:14">
      <c r="K122" s="6"/>
      <c r="N122" s="6"/>
    </row>
    <row r="123" spans="11:14">
      <c r="K123" s="6"/>
      <c r="N123" s="6"/>
    </row>
    <row r="124" spans="11:14">
      <c r="K124" s="6"/>
      <c r="N124" s="6"/>
    </row>
    <row r="125" spans="11:14">
      <c r="K125" s="6"/>
      <c r="N125" s="6"/>
    </row>
    <row r="126" spans="11:14">
      <c r="K126" s="6"/>
      <c r="N126" s="6"/>
    </row>
    <row r="127" spans="11:14">
      <c r="K127" s="6"/>
      <c r="N127" s="6"/>
    </row>
    <row r="128" spans="11:14">
      <c r="K128" s="6"/>
      <c r="N128" s="6"/>
    </row>
    <row r="129" spans="11:14">
      <c r="K129" s="6"/>
      <c r="N129" s="6"/>
    </row>
    <row r="130" spans="11:14">
      <c r="K130" s="6"/>
      <c r="N130" s="6"/>
    </row>
    <row r="131" spans="11:14">
      <c r="K131" s="6"/>
      <c r="N131" s="6"/>
    </row>
    <row r="132" spans="11:14">
      <c r="K132" s="6"/>
      <c r="N132" s="6"/>
    </row>
    <row r="133" spans="11:14">
      <c r="K133" s="6"/>
      <c r="N133" s="6"/>
    </row>
    <row r="134" spans="11:14">
      <c r="K134" s="6"/>
      <c r="N134" s="6"/>
    </row>
    <row r="135" spans="11:14">
      <c r="K135" s="6"/>
      <c r="N135" s="6"/>
    </row>
    <row r="136" spans="11:14">
      <c r="K136" s="6"/>
      <c r="N136" s="6"/>
    </row>
    <row r="137" spans="11:14">
      <c r="K137" s="6"/>
      <c r="N137" s="6"/>
    </row>
    <row r="138" spans="11:14">
      <c r="K138" s="6"/>
      <c r="N138" s="6"/>
    </row>
    <row r="139" spans="11:14">
      <c r="K139" s="6"/>
      <c r="N139" s="6"/>
    </row>
    <row r="140" spans="11:14">
      <c r="K140" s="6"/>
      <c r="N140" s="6"/>
    </row>
    <row r="141" spans="11:14">
      <c r="K141" s="6"/>
      <c r="N141" s="6"/>
    </row>
    <row r="142" spans="11:14">
      <c r="K142" s="6"/>
      <c r="N142" s="6"/>
    </row>
    <row r="143" spans="11:14">
      <c r="K143" s="6"/>
      <c r="N143" s="6"/>
    </row>
    <row r="144" spans="11:14">
      <c r="K144" s="6"/>
      <c r="N144" s="6"/>
    </row>
    <row r="145" spans="11:14">
      <c r="K145" s="6"/>
      <c r="N145" s="6"/>
    </row>
    <row r="146" spans="11:14">
      <c r="K146" s="6"/>
      <c r="N146" s="6"/>
    </row>
    <row r="147" spans="11:14">
      <c r="K147" s="6"/>
      <c r="N147" s="6"/>
    </row>
    <row r="148" spans="11:14">
      <c r="K148" s="6"/>
      <c r="N148" s="6"/>
    </row>
    <row r="149" spans="11:14">
      <c r="K149" s="6"/>
      <c r="N149" s="6"/>
    </row>
    <row r="150" spans="11:14">
      <c r="K150" s="6"/>
      <c r="N150" s="6"/>
    </row>
    <row r="151" spans="11:14">
      <c r="K151" s="6"/>
      <c r="N151" s="6"/>
    </row>
    <row r="152" spans="11:14">
      <c r="K152" s="6"/>
      <c r="N152" s="6"/>
    </row>
    <row r="153" spans="11:14">
      <c r="K153" s="6"/>
      <c r="N153" s="6"/>
    </row>
    <row r="154" spans="11:14">
      <c r="K154" s="6"/>
      <c r="N154" s="6"/>
    </row>
    <row r="155" spans="11:14">
      <c r="K155" s="6"/>
      <c r="N155" s="6"/>
    </row>
    <row r="156" spans="11:14">
      <c r="K156" s="6"/>
      <c r="N156" s="6"/>
    </row>
    <row r="157" spans="11:14">
      <c r="K157" s="6"/>
      <c r="N157" s="6"/>
    </row>
    <row r="158" spans="11:14">
      <c r="K158" s="6"/>
      <c r="N158" s="6"/>
    </row>
    <row r="159" spans="11:14">
      <c r="K159" s="6"/>
      <c r="N159" s="6"/>
    </row>
    <row r="160" spans="11:14">
      <c r="K160" s="6"/>
      <c r="N160" s="6"/>
    </row>
    <row r="161" spans="11:14">
      <c r="K161" s="6"/>
      <c r="N161" s="6"/>
    </row>
    <row r="162" spans="11:14">
      <c r="K162" s="6"/>
      <c r="N162" s="6"/>
    </row>
    <row r="163" spans="11:14">
      <c r="K163" s="6"/>
      <c r="N163" s="6"/>
    </row>
    <row r="164" spans="11:14">
      <c r="K164" s="6"/>
      <c r="N164" s="6"/>
    </row>
    <row r="165" spans="11:14">
      <c r="K165" s="6"/>
      <c r="N165" s="6"/>
    </row>
    <row r="166" spans="11:14">
      <c r="K166" s="6"/>
      <c r="N166" s="6"/>
    </row>
    <row r="167" spans="11:14">
      <c r="K167" s="6"/>
      <c r="N167" s="6"/>
    </row>
    <row r="168" spans="11:14">
      <c r="K168" s="6"/>
      <c r="N168" s="6"/>
    </row>
    <row r="169" spans="11:14">
      <c r="K169" s="6"/>
      <c r="N169" s="6"/>
    </row>
    <row r="170" spans="11:14">
      <c r="K170" s="6"/>
      <c r="N170" s="6"/>
    </row>
    <row r="171" spans="11:14">
      <c r="K171" s="6"/>
      <c r="N171" s="6"/>
    </row>
    <row r="172" spans="11:14">
      <c r="K172" s="6"/>
      <c r="N172" s="6"/>
    </row>
    <row r="173" spans="11:14">
      <c r="K173" s="6"/>
      <c r="N173" s="6"/>
    </row>
    <row r="174" spans="11:14">
      <c r="K174" s="6"/>
      <c r="N174" s="6"/>
    </row>
    <row r="175" spans="11:14">
      <c r="K175" s="6"/>
      <c r="N175" s="6"/>
    </row>
    <row r="176" spans="11:14">
      <c r="K176" s="6"/>
      <c r="N176" s="6"/>
    </row>
    <row r="177" spans="11:14">
      <c r="K177" s="6"/>
      <c r="N177" s="6"/>
    </row>
    <row r="178" spans="11:14">
      <c r="K178" s="6"/>
      <c r="N178" s="6"/>
    </row>
    <row r="179" spans="11:14">
      <c r="K179" s="6"/>
      <c r="N179" s="6"/>
    </row>
    <row r="180" spans="11:14">
      <c r="K180" s="6"/>
      <c r="N180" s="6"/>
    </row>
    <row r="181" spans="11:14">
      <c r="K181" s="6"/>
      <c r="N181" s="6"/>
    </row>
    <row r="182" spans="11:14">
      <c r="K182" s="6"/>
      <c r="N182" s="6"/>
    </row>
    <row r="183" spans="11:14">
      <c r="K183" s="6"/>
      <c r="N183" s="6"/>
    </row>
    <row r="184" spans="11:14">
      <c r="K184" s="6"/>
      <c r="N184" s="6"/>
    </row>
    <row r="185" spans="11:14">
      <c r="K185" s="6"/>
      <c r="N185" s="6"/>
    </row>
    <row r="186" spans="11:14">
      <c r="K186" s="6"/>
      <c r="N186" s="6"/>
    </row>
    <row r="187" spans="11:14">
      <c r="K187" s="6"/>
      <c r="N187" s="6"/>
    </row>
    <row r="188" spans="11:14">
      <c r="K188" s="6"/>
      <c r="N188" s="6"/>
    </row>
    <row r="189" spans="11:14">
      <c r="K189" s="6"/>
      <c r="N189" s="6"/>
    </row>
    <row r="190" spans="11:14">
      <c r="K190" s="6"/>
      <c r="N190" s="6"/>
    </row>
    <row r="191" spans="11:14">
      <c r="K191" s="6"/>
      <c r="N191" s="6"/>
    </row>
    <row r="192" spans="11:14">
      <c r="K192" s="6"/>
      <c r="N192" s="6"/>
    </row>
    <row r="193" spans="1:28">
      <c r="K193" s="6"/>
      <c r="N193" s="6"/>
    </row>
    <row r="194" spans="1:28">
      <c r="K194" s="6"/>
      <c r="N194" s="6"/>
    </row>
    <row r="195" spans="1:28">
      <c r="K195" s="6"/>
      <c r="N195" s="6"/>
    </row>
    <row r="196" spans="1:28">
      <c r="K196" s="6"/>
      <c r="N196" s="6"/>
    </row>
    <row r="197" spans="1:28">
      <c r="K197" s="6"/>
      <c r="N197" s="6"/>
    </row>
    <row r="198" spans="1:28">
      <c r="K198" s="6"/>
      <c r="N198" s="6"/>
    </row>
    <row r="199" spans="1:28">
      <c r="K199" s="6"/>
      <c r="N199" s="6"/>
    </row>
    <row r="200" spans="1:28">
      <c r="K200" s="6"/>
      <c r="N200" s="6"/>
    </row>
    <row r="201" spans="1:28">
      <c r="K201" s="6"/>
      <c r="N201" s="6"/>
    </row>
    <row r="202" spans="1:28">
      <c r="K202" s="6"/>
      <c r="N202" s="6"/>
    </row>
    <row r="203" spans="1:28">
      <c r="A203" s="1"/>
      <c r="K203" s="6"/>
      <c r="N203" s="6"/>
    </row>
    <row r="204" spans="1:28">
      <c r="G204" s="1"/>
      <c r="J204" s="1"/>
      <c r="K204" s="6"/>
      <c r="M204" s="1"/>
      <c r="N204" s="6"/>
      <c r="P204" s="1"/>
      <c r="V204" s="1"/>
      <c r="Y204" s="1"/>
      <c r="AB204" s="1"/>
    </row>
    <row r="205" spans="1:28">
      <c r="K205" s="6"/>
      <c r="N205" s="6"/>
    </row>
    <row r="206" spans="1:28">
      <c r="K206" s="6"/>
      <c r="N206" s="6"/>
    </row>
    <row r="207" spans="1:28">
      <c r="K207" s="6"/>
      <c r="N207" s="6"/>
    </row>
    <row r="208" spans="1:28">
      <c r="K208" s="6"/>
      <c r="N208" s="6"/>
    </row>
    <row r="209" spans="11:14">
      <c r="K209" s="6"/>
      <c r="N209" s="6"/>
    </row>
    <row r="210" spans="11:14">
      <c r="K210" s="6"/>
      <c r="N210" s="6"/>
    </row>
    <row r="211" spans="11:14">
      <c r="K211" s="6"/>
      <c r="N211" s="6"/>
    </row>
    <row r="212" spans="11:14">
      <c r="K212" s="6"/>
      <c r="N212" s="6"/>
    </row>
    <row r="213" spans="11:14">
      <c r="K213" s="6"/>
      <c r="N213" s="6"/>
    </row>
    <row r="214" spans="11:14">
      <c r="K214" s="6"/>
      <c r="N214" s="6"/>
    </row>
    <row r="215" spans="11:14">
      <c r="K215" s="6"/>
      <c r="N215" s="6"/>
    </row>
    <row r="216" spans="11:14">
      <c r="K216" s="6"/>
      <c r="N216" s="6"/>
    </row>
    <row r="217" spans="11:14">
      <c r="K217" s="6"/>
      <c r="N217" s="6"/>
    </row>
    <row r="218" spans="11:14">
      <c r="K218" s="6"/>
      <c r="N218" s="6"/>
    </row>
    <row r="219" spans="11:14">
      <c r="K219" s="6"/>
      <c r="N219" s="6"/>
    </row>
    <row r="220" spans="11:14">
      <c r="K220" s="6"/>
      <c r="N220" s="6"/>
    </row>
    <row r="221" spans="11:14">
      <c r="K221" s="6"/>
      <c r="N221" s="6"/>
    </row>
    <row r="222" spans="11:14">
      <c r="K222" s="6"/>
      <c r="N222" s="6"/>
    </row>
    <row r="223" spans="11:14">
      <c r="K223" s="6"/>
      <c r="N223" s="6"/>
    </row>
    <row r="224" spans="11:14">
      <c r="K224" s="6"/>
      <c r="N224" s="6"/>
    </row>
    <row r="225" spans="11:14">
      <c r="K225" s="6"/>
      <c r="N225" s="6"/>
    </row>
    <row r="226" spans="11:14">
      <c r="K226" s="6"/>
      <c r="N226" s="6"/>
    </row>
    <row r="227" spans="11:14">
      <c r="K227" s="6"/>
      <c r="N227" s="6"/>
    </row>
    <row r="228" spans="11:14">
      <c r="K228" s="6"/>
      <c r="N228" s="6"/>
    </row>
    <row r="229" spans="11:14">
      <c r="K229" s="6"/>
      <c r="N229" s="6"/>
    </row>
    <row r="230" spans="11:14">
      <c r="K230" s="6"/>
      <c r="N230" s="6"/>
    </row>
    <row r="231" spans="11:14">
      <c r="K231" s="6"/>
      <c r="N231" s="6"/>
    </row>
    <row r="232" spans="11:14">
      <c r="K232" s="6"/>
      <c r="N232" s="6"/>
    </row>
    <row r="233" spans="11:14">
      <c r="K233" s="6"/>
      <c r="N233" s="6"/>
    </row>
    <row r="234" spans="11:14">
      <c r="K234" s="6"/>
      <c r="N234" s="6"/>
    </row>
    <row r="235" spans="11:14">
      <c r="K235" s="6"/>
      <c r="N235" s="6"/>
    </row>
    <row r="236" spans="11:14">
      <c r="K236" s="6"/>
      <c r="N236" s="6"/>
    </row>
    <row r="237" spans="11:14">
      <c r="K237" s="6"/>
      <c r="N237" s="6"/>
    </row>
    <row r="238" spans="11:14">
      <c r="K238" s="6"/>
      <c r="N238" s="6"/>
    </row>
    <row r="239" spans="11:14">
      <c r="K239" s="6"/>
      <c r="N239" s="6"/>
    </row>
    <row r="240" spans="11:14">
      <c r="K240" s="6"/>
      <c r="N240" s="6"/>
    </row>
    <row r="241" spans="11:14">
      <c r="K241" s="6"/>
      <c r="N241" s="6"/>
    </row>
    <row r="242" spans="11:14">
      <c r="K242" s="6"/>
      <c r="N242" s="6"/>
    </row>
    <row r="243" spans="11:14">
      <c r="K243" s="6"/>
      <c r="N243" s="6"/>
    </row>
    <row r="244" spans="11:14">
      <c r="K244" s="6"/>
      <c r="N244" s="6"/>
    </row>
    <row r="245" spans="11:14">
      <c r="K245" s="6"/>
      <c r="N245" s="6"/>
    </row>
    <row r="246" spans="11:14">
      <c r="K246" s="6"/>
      <c r="N246" s="6"/>
    </row>
    <row r="247" spans="11:14">
      <c r="K247" s="6"/>
      <c r="N247" s="6"/>
    </row>
    <row r="248" spans="11:14">
      <c r="K248" s="6"/>
      <c r="N248" s="6"/>
    </row>
    <row r="249" spans="11:14">
      <c r="K249" s="6"/>
      <c r="N249" s="6"/>
    </row>
    <row r="250" spans="11:14">
      <c r="K250" s="6"/>
      <c r="N250" s="6"/>
    </row>
    <row r="251" spans="11:14">
      <c r="K251" s="6"/>
      <c r="N251" s="6"/>
    </row>
    <row r="252" spans="11:14">
      <c r="K252" s="6"/>
      <c r="N252" s="6"/>
    </row>
    <row r="253" spans="11:14">
      <c r="K253" s="6"/>
      <c r="N253" s="6"/>
    </row>
    <row r="254" spans="11:14">
      <c r="K254" s="6"/>
      <c r="N254" s="6"/>
    </row>
    <row r="255" spans="11:14">
      <c r="K255" s="6"/>
      <c r="N255" s="6"/>
    </row>
    <row r="256" spans="11:14">
      <c r="K256" s="6"/>
      <c r="N256" s="6"/>
    </row>
    <row r="257" spans="11:14">
      <c r="K257" s="6"/>
      <c r="N257" s="6"/>
    </row>
    <row r="258" spans="11:14">
      <c r="K258" s="6"/>
      <c r="N258" s="6"/>
    </row>
    <row r="259" spans="11:14">
      <c r="K259" s="6"/>
      <c r="N259" s="6"/>
    </row>
    <row r="260" spans="11:14">
      <c r="K260" s="6"/>
      <c r="N260" s="6"/>
    </row>
    <row r="261" spans="11:14">
      <c r="K261" s="6"/>
      <c r="N261" s="6"/>
    </row>
    <row r="262" spans="11:14">
      <c r="K262" s="6"/>
      <c r="N262" s="6"/>
    </row>
    <row r="263" spans="11:14">
      <c r="K263" s="6"/>
      <c r="N263" s="6"/>
    </row>
    <row r="264" spans="11:14">
      <c r="K264" s="6"/>
      <c r="N264" s="6"/>
    </row>
    <row r="265" spans="11:14">
      <c r="K265" s="6"/>
      <c r="N265" s="6"/>
    </row>
    <row r="266" spans="11:14">
      <c r="K266" s="6"/>
      <c r="N266" s="6"/>
    </row>
    <row r="267" spans="11:14">
      <c r="K267" s="6"/>
      <c r="N267" s="6"/>
    </row>
    <row r="268" spans="11:14">
      <c r="K268" s="6"/>
      <c r="N268" s="6"/>
    </row>
    <row r="269" spans="11:14">
      <c r="K269" s="6"/>
      <c r="N269" s="6"/>
    </row>
    <row r="270" spans="11:14">
      <c r="K270" s="6"/>
      <c r="N270" s="6"/>
    </row>
  </sheetData>
  <mergeCells count="20">
    <mergeCell ref="G1:H1"/>
    <mergeCell ref="A1:B1"/>
    <mergeCell ref="D1:E1"/>
    <mergeCell ref="J1:K1"/>
    <mergeCell ref="M1:N1"/>
    <mergeCell ref="P1:Q1"/>
    <mergeCell ref="S1:T1"/>
    <mergeCell ref="V1:W1"/>
    <mergeCell ref="Y1:Z1"/>
    <mergeCell ref="AB1:AC1"/>
    <mergeCell ref="A2:B2"/>
    <mergeCell ref="D2:E2"/>
    <mergeCell ref="G2:H2"/>
    <mergeCell ref="J2:K2"/>
    <mergeCell ref="M2:N2"/>
    <mergeCell ref="P2:Q2"/>
    <mergeCell ref="S2:T2"/>
    <mergeCell ref="V2:W2"/>
    <mergeCell ref="Y2:Z2"/>
    <mergeCell ref="AB2:AC2"/>
  </mergeCells>
  <dataValidations disablePrompts="1" count="1">
    <dataValidation type="list" allowBlank="1" showInputMessage="1" showErrorMessage="1" sqref="D15" xr:uid="{00000000-0002-0000-0300-000000000000}">
      <formula1>Seg_1&amp;" ("&amp;Cód_1&amp;")"</formula1>
    </dataValidation>
  </dataValidations>
  <pageMargins left="0.51181102362204722" right="0.51181102362204722" top="0.78740157480314965" bottom="0.78740157480314965" header="0.31496062992125984" footer="0.31496062992125984"/>
  <pageSetup paperSize="9" orientation="portrait" r:id="rId1"/>
  <ignoredErrors>
    <ignoredError sqref="K5:K18" numberStoredAsText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/>
  <dimension ref="A1:Q46"/>
  <sheetViews>
    <sheetView showGridLines="0" zoomScaleNormal="100" workbookViewId="0">
      <selection activeCell="D3" sqref="D3:D4"/>
    </sheetView>
  </sheetViews>
  <sheetFormatPr defaultColWidth="8.85546875" defaultRowHeight="15"/>
  <cols>
    <col min="1" max="1" width="1.42578125" style="20" customWidth="1"/>
    <col min="2" max="2" width="26" style="19" customWidth="1"/>
    <col min="3" max="3" width="3.42578125" style="20" customWidth="1"/>
    <col min="4" max="4" width="24.5703125" style="20" customWidth="1"/>
    <col min="5" max="5" width="3.5703125" style="20" customWidth="1"/>
    <col min="6" max="6" width="36" style="20" customWidth="1"/>
    <col min="7" max="7" width="3.42578125" style="20" customWidth="1"/>
    <col min="8" max="8" width="11.5703125" style="20" bestFit="1" customWidth="1"/>
    <col min="9" max="9" width="10.28515625" style="19" bestFit="1" customWidth="1"/>
    <col min="10" max="10" width="11.7109375" style="20" customWidth="1"/>
    <col min="11" max="11" width="4.140625" style="20" customWidth="1"/>
    <col min="12" max="12" width="14.5703125" style="19" customWidth="1"/>
    <col min="13" max="13" width="3.42578125" style="20" customWidth="1"/>
    <col min="14" max="14" width="11" style="20" customWidth="1"/>
    <col min="15" max="15" width="12.85546875" style="20" customWidth="1"/>
    <col min="16" max="16" width="8.85546875" style="20"/>
    <col min="17" max="17" width="11.7109375" style="31" bestFit="1" customWidth="1"/>
    <col min="18" max="16384" width="8.85546875" style="20"/>
  </cols>
  <sheetData>
    <row r="1" spans="1:17" customFormat="1" ht="21.75" thickBot="1">
      <c r="A1" s="3"/>
      <c r="B1" s="44" t="s">
        <v>1</v>
      </c>
      <c r="C1" s="3"/>
      <c r="D1" s="3"/>
      <c r="E1" s="3"/>
      <c r="F1" s="3"/>
      <c r="G1" s="3"/>
      <c r="H1" s="85" t="s">
        <v>16</v>
      </c>
      <c r="I1" s="86"/>
      <c r="J1" s="87"/>
      <c r="K1" s="3"/>
      <c r="L1" s="45"/>
      <c r="M1" s="3"/>
      <c r="N1" s="3"/>
      <c r="O1" s="46" t="s">
        <v>24</v>
      </c>
      <c r="P1" s="3"/>
      <c r="Q1" s="47" t="s">
        <v>145</v>
      </c>
    </row>
    <row r="2" spans="1:17" customFormat="1" ht="18" customHeight="1" thickBot="1">
      <c r="A2" s="3"/>
      <c r="B2" s="48" t="str">
        <f ca="1">"="&amp;SUBSTITUTE(GERADOR!B17,"*",REPT("?",H3))</f>
        <v>=BA-C-EFL-009ENA-??</v>
      </c>
      <c r="C2" s="3"/>
      <c r="D2" s="47" t="s">
        <v>1</v>
      </c>
      <c r="E2" s="3"/>
      <c r="F2" s="47" t="s">
        <v>2</v>
      </c>
      <c r="G2" s="3"/>
      <c r="H2" s="49" t="s">
        <v>18</v>
      </c>
      <c r="I2" s="50" t="s">
        <v>17</v>
      </c>
      <c r="J2" s="51" t="s">
        <v>19</v>
      </c>
      <c r="K2" s="3"/>
      <c r="L2" s="47" t="s">
        <v>23</v>
      </c>
      <c r="M2" s="3"/>
      <c r="N2" s="52" t="s">
        <v>25</v>
      </c>
      <c r="O2" s="53">
        <v>6</v>
      </c>
      <c r="P2" s="3"/>
      <c r="Q2" s="47" t="b">
        <v>0</v>
      </c>
    </row>
    <row r="3" spans="1:17" s="5" customFormat="1" ht="21.2" customHeight="1" thickBot="1">
      <c r="A3" s="47"/>
      <c r="B3" s="54" t="str">
        <f ca="1">GERADOR!B17</f>
        <v>BA-C-EFL-009ENA-*</v>
      </c>
      <c r="C3" s="47"/>
      <c r="D3" s="47" t="s">
        <v>1</v>
      </c>
      <c r="E3" s="3"/>
      <c r="F3" s="55" t="str">
        <f ca="1">SUBSTITUTE(B3,"*",I7)</f>
        <v>BA-C-EFL-009ENA-01</v>
      </c>
      <c r="G3" s="47"/>
      <c r="H3" s="56">
        <f>GERADOR!Y14</f>
        <v>2</v>
      </c>
      <c r="I3" s="57">
        <f>GERADOR!Z14</f>
        <v>1</v>
      </c>
      <c r="J3" s="58">
        <f>(10^H3)-1</f>
        <v>99</v>
      </c>
      <c r="K3" s="47"/>
      <c r="L3" s="47" t="b">
        <f>IFERROR(J3&lt;=(I7+1),FALSE)</f>
        <v>0</v>
      </c>
      <c r="M3" s="47"/>
      <c r="N3" s="47"/>
      <c r="O3" s="47"/>
      <c r="P3" s="47"/>
      <c r="Q3" s="47"/>
    </row>
    <row r="4" spans="1:17" customFormat="1" ht="19.5" thickBot="1">
      <c r="A4" s="3"/>
      <c r="B4" s="59"/>
      <c r="C4" s="3"/>
      <c r="D4" s="31"/>
      <c r="E4" s="3"/>
      <c r="F4" s="3"/>
      <c r="G4" s="3"/>
      <c r="H4" s="60" t="s">
        <v>20</v>
      </c>
      <c r="I4" s="88" t="str">
        <f t="shared" ref="I4:J4" si="0">REPT("0",H3)</f>
        <v>00</v>
      </c>
      <c r="J4" s="89"/>
      <c r="K4" s="3"/>
      <c r="L4" s="3"/>
      <c r="M4" s="3"/>
      <c r="N4" s="3"/>
      <c r="O4" s="3"/>
      <c r="P4" s="3"/>
      <c r="Q4" s="47"/>
    </row>
    <row r="5" spans="1:17" customFormat="1" ht="15.75" thickBot="1">
      <c r="A5" s="3"/>
      <c r="B5" s="45"/>
      <c r="C5" s="3"/>
      <c r="D5" s="47"/>
      <c r="E5" s="3"/>
      <c r="F5" s="47"/>
      <c r="G5" s="3"/>
      <c r="H5" s="3"/>
      <c r="I5" s="45"/>
      <c r="J5" s="3"/>
      <c r="K5" s="3"/>
      <c r="L5" s="47" t="s">
        <v>27</v>
      </c>
      <c r="M5" s="3"/>
      <c r="N5" s="3"/>
      <c r="O5" s="3"/>
      <c r="P5" s="3"/>
      <c r="Q5" s="47"/>
    </row>
    <row r="6" spans="1:17" customFormat="1">
      <c r="A6" s="3"/>
      <c r="B6" s="45"/>
      <c r="C6" s="3"/>
      <c r="D6" s="47"/>
      <c r="E6" s="3"/>
      <c r="F6" s="3"/>
      <c r="G6" s="3"/>
      <c r="H6" s="61" t="s">
        <v>21</v>
      </c>
      <c r="I6" s="62" t="s">
        <v>22</v>
      </c>
      <c r="J6" s="3"/>
      <c r="K6" s="3"/>
      <c r="L6" s="47" t="b">
        <f ca="1">B3=D4</f>
        <v>0</v>
      </c>
      <c r="M6" s="3"/>
      <c r="N6" s="3"/>
      <c r="O6" s="3"/>
      <c r="P6" s="3"/>
      <c r="Q6" s="47"/>
    </row>
    <row r="7" spans="1:17" customFormat="1" ht="15.75" thickBot="1">
      <c r="A7" s="3"/>
      <c r="B7" s="45"/>
      <c r="C7" s="3"/>
      <c r="D7" s="47"/>
      <c r="E7" s="3"/>
      <c r="F7" s="3"/>
      <c r="G7" s="3"/>
      <c r="H7" s="63" t="str">
        <f ca="1">MID(D4,FIND("*",B3),H3)</f>
        <v/>
      </c>
      <c r="I7" s="64" t="str">
        <f>IF(D4="",TEXT(I3,REPT("0",H3)),TEXT(H7+1,REPT("0",H3)))</f>
        <v>01</v>
      </c>
      <c r="J7" s="3"/>
      <c r="K7" s="3"/>
      <c r="L7" s="45"/>
      <c r="M7" s="3"/>
      <c r="N7" s="3"/>
      <c r="O7" s="3"/>
      <c r="P7" s="3"/>
      <c r="Q7" s="47"/>
    </row>
    <row r="8" spans="1:17" customFormat="1" ht="18.75">
      <c r="A8" s="3"/>
      <c r="B8" s="45"/>
      <c r="C8" s="3"/>
      <c r="D8" s="47"/>
      <c r="E8" s="3"/>
      <c r="F8" s="3"/>
      <c r="G8" s="3"/>
      <c r="H8" s="3"/>
      <c r="I8" s="65"/>
      <c r="J8" s="3"/>
      <c r="K8" s="3"/>
      <c r="L8" s="45" t="s">
        <v>28</v>
      </c>
      <c r="M8" s="3"/>
      <c r="N8" s="3"/>
      <c r="O8" s="3"/>
      <c r="P8" s="3"/>
      <c r="Q8" s="47"/>
    </row>
    <row r="9" spans="1:17" customFormat="1">
      <c r="A9" s="3"/>
      <c r="B9" s="45"/>
      <c r="C9" s="3"/>
      <c r="D9" s="47"/>
      <c r="E9" s="3"/>
      <c r="F9" s="3"/>
      <c r="G9" s="3"/>
      <c r="H9" s="66"/>
      <c r="I9" s="45"/>
      <c r="J9" s="3"/>
      <c r="K9" s="3"/>
      <c r="L9" s="45" t="b">
        <f ca="1">ISNUMBER(VALUE(H7))</f>
        <v>0</v>
      </c>
      <c r="M9" s="3"/>
      <c r="N9" s="3"/>
      <c r="O9" s="3"/>
      <c r="P9" s="3"/>
      <c r="Q9" s="47"/>
    </row>
    <row r="10" spans="1:17" customFormat="1">
      <c r="A10" s="3"/>
      <c r="B10" s="45"/>
      <c r="C10" s="3"/>
      <c r="D10" s="47"/>
      <c r="E10" s="3"/>
      <c r="F10" s="3"/>
      <c r="G10" s="3"/>
      <c r="H10" s="3"/>
      <c r="I10" s="45"/>
      <c r="J10" s="3"/>
      <c r="K10" s="3"/>
      <c r="L10" s="45"/>
      <c r="M10" s="3"/>
      <c r="N10" s="3"/>
      <c r="O10" s="3"/>
      <c r="P10" s="3"/>
      <c r="Q10" s="47"/>
    </row>
    <row r="11" spans="1:17" customFormat="1">
      <c r="A11" s="3"/>
      <c r="B11" s="45"/>
      <c r="C11" s="3"/>
      <c r="D11" s="47"/>
      <c r="E11" s="3"/>
      <c r="F11" s="3"/>
      <c r="G11" s="3"/>
      <c r="H11" s="47"/>
      <c r="I11" s="67"/>
      <c r="J11" s="3"/>
      <c r="K11" s="3"/>
      <c r="L11" s="66" t="s">
        <v>29</v>
      </c>
      <c r="M11" s="3"/>
      <c r="N11" s="3"/>
      <c r="O11" s="3"/>
      <c r="P11" s="3"/>
      <c r="Q11" s="47"/>
    </row>
    <row r="12" spans="1:17" customFormat="1">
      <c r="A12" s="3"/>
      <c r="B12" s="45"/>
      <c r="C12" s="3"/>
      <c r="D12" s="47"/>
      <c r="E12" s="3"/>
      <c r="F12" s="3"/>
      <c r="G12" s="3"/>
      <c r="H12" s="47"/>
      <c r="I12" s="47"/>
      <c r="J12" s="47"/>
      <c r="K12" s="3"/>
      <c r="L12" s="45" t="str">
        <f>IFERROR(FIND("*",CONCATENATE(GERADOR!C14,GERADOR!E14,GERADOR!G14,GERADOR!I14,GERADOR!K14,GERADOR!M14,GERADOR!O14,GERADOR!Q14,GERADOR!S14),1),"OK")</f>
        <v>OK</v>
      </c>
      <c r="M12" s="3"/>
      <c r="N12" s="3"/>
      <c r="O12" s="3"/>
      <c r="P12" s="3"/>
      <c r="Q12" s="47"/>
    </row>
    <row r="13" spans="1:17" customFormat="1">
      <c r="A13" s="3"/>
      <c r="B13" s="45"/>
      <c r="C13" s="3"/>
      <c r="D13" s="47"/>
      <c r="E13" s="3"/>
      <c r="F13" s="3"/>
      <c r="G13" s="3"/>
      <c r="H13" s="47"/>
      <c r="I13" s="47"/>
      <c r="J13" s="47"/>
      <c r="K13" s="3"/>
      <c r="L13" s="45"/>
      <c r="M13" s="3"/>
      <c r="N13" s="3"/>
      <c r="O13" s="3"/>
      <c r="P13" s="3"/>
      <c r="Q13" s="47"/>
    </row>
    <row r="14" spans="1:17" customFormat="1">
      <c r="A14" s="3"/>
      <c r="B14" s="45"/>
      <c r="C14" s="3"/>
      <c r="D14" s="47"/>
      <c r="E14" s="3"/>
      <c r="F14" s="68"/>
      <c r="G14" s="3"/>
      <c r="H14" s="47"/>
      <c r="I14" s="47"/>
      <c r="J14" s="47"/>
      <c r="K14" s="3"/>
      <c r="L14" s="45"/>
      <c r="M14" s="3"/>
      <c r="N14" s="3"/>
      <c r="O14" s="3"/>
      <c r="P14" s="3"/>
      <c r="Q14" s="47"/>
    </row>
    <row r="15" spans="1:17" customFormat="1">
      <c r="A15" s="3"/>
      <c r="B15" s="45"/>
      <c r="C15" s="3"/>
      <c r="D15" s="47"/>
      <c r="E15" s="3"/>
      <c r="F15" s="3"/>
      <c r="G15" s="3"/>
      <c r="H15" s="47"/>
      <c r="I15" s="47"/>
      <c r="J15" s="47"/>
      <c r="K15" s="3"/>
      <c r="L15" s="45"/>
      <c r="M15" s="3"/>
      <c r="N15" s="3"/>
      <c r="O15" s="3"/>
      <c r="P15" s="3"/>
      <c r="Q15" s="47"/>
    </row>
    <row r="16" spans="1:17" customFormat="1">
      <c r="B16" s="19"/>
      <c r="C16" s="20"/>
      <c r="D16" s="31"/>
      <c r="E16" s="20"/>
      <c r="F16" s="20"/>
      <c r="G16" s="20"/>
      <c r="H16" s="20"/>
      <c r="I16" s="19"/>
      <c r="J16" s="20"/>
      <c r="K16" s="20"/>
      <c r="L16" s="19"/>
      <c r="M16" s="20"/>
      <c r="N16" s="20"/>
      <c r="O16" s="20"/>
      <c r="Q16" s="5"/>
    </row>
    <row r="17" spans="2:17" customFormat="1">
      <c r="B17" s="19"/>
      <c r="C17" s="20"/>
      <c r="D17" s="31"/>
      <c r="E17" s="20"/>
      <c r="F17" s="20"/>
      <c r="G17" s="20"/>
      <c r="H17" s="20"/>
      <c r="I17" s="19"/>
      <c r="J17" s="20"/>
      <c r="K17" s="20"/>
      <c r="L17" s="19"/>
      <c r="M17" s="20"/>
      <c r="N17" s="20"/>
      <c r="O17" s="20"/>
      <c r="Q17" s="5"/>
    </row>
    <row r="18" spans="2:17" customFormat="1">
      <c r="B18" s="19"/>
      <c r="C18" s="20"/>
      <c r="D18" s="31"/>
      <c r="E18" s="20"/>
      <c r="F18" s="20"/>
      <c r="G18" s="20"/>
      <c r="H18" s="20"/>
      <c r="I18" s="19"/>
      <c r="J18" s="20"/>
      <c r="K18" s="20"/>
      <c r="L18" s="19"/>
      <c r="M18" s="20"/>
      <c r="N18" s="20"/>
      <c r="O18" s="20"/>
      <c r="Q18" s="5"/>
    </row>
    <row r="19" spans="2:17" customFormat="1">
      <c r="B19" s="19"/>
      <c r="C19" s="20"/>
      <c r="D19" s="31"/>
      <c r="E19" s="20"/>
      <c r="F19" s="20"/>
      <c r="G19" s="20"/>
      <c r="H19" s="20"/>
      <c r="I19" s="19"/>
      <c r="J19" s="20"/>
      <c r="K19" s="20"/>
      <c r="L19" s="19"/>
      <c r="M19" s="20"/>
      <c r="N19" s="20"/>
      <c r="O19" s="20"/>
      <c r="Q19" s="5"/>
    </row>
    <row r="20" spans="2:17" customFormat="1">
      <c r="B20" s="19"/>
      <c r="C20" s="20"/>
      <c r="D20" s="31"/>
      <c r="E20" s="20"/>
      <c r="F20" s="20"/>
      <c r="G20" s="20"/>
      <c r="H20" s="20"/>
      <c r="I20" s="19"/>
      <c r="J20" s="20"/>
      <c r="K20" s="20"/>
      <c r="L20" s="19"/>
      <c r="M20" s="20"/>
      <c r="N20" s="20"/>
      <c r="O20" s="20"/>
      <c r="Q20" s="5"/>
    </row>
    <row r="21" spans="2:17" customFormat="1">
      <c r="B21" s="19"/>
      <c r="C21" s="20"/>
      <c r="D21" s="31"/>
      <c r="E21" s="20"/>
      <c r="F21" s="20"/>
      <c r="G21" s="20"/>
      <c r="H21" s="20"/>
      <c r="I21" s="19"/>
      <c r="J21" s="20"/>
      <c r="K21" s="20"/>
      <c r="L21" s="19"/>
      <c r="M21" s="20"/>
      <c r="N21" s="20"/>
      <c r="O21" s="20"/>
      <c r="Q21" s="5"/>
    </row>
    <row r="22" spans="2:17" customFormat="1">
      <c r="B22" s="19"/>
      <c r="C22" s="20"/>
      <c r="D22" s="19"/>
      <c r="E22" s="20"/>
      <c r="F22" s="20"/>
      <c r="G22" s="20"/>
      <c r="H22" s="20"/>
      <c r="I22" s="19"/>
      <c r="J22" s="20"/>
      <c r="K22" s="20"/>
      <c r="L22" s="19"/>
      <c r="M22" s="20"/>
      <c r="N22" s="20"/>
      <c r="O22" s="20"/>
      <c r="Q22" s="5"/>
    </row>
    <row r="23" spans="2:17" customFormat="1">
      <c r="B23" s="19"/>
      <c r="C23" s="20"/>
      <c r="D23" s="19"/>
      <c r="E23" s="20"/>
      <c r="F23" s="20"/>
      <c r="G23" s="20"/>
      <c r="H23" s="20"/>
      <c r="I23" s="19"/>
      <c r="J23" s="20"/>
      <c r="K23" s="20"/>
      <c r="L23" s="19"/>
      <c r="M23" s="20"/>
      <c r="N23" s="20"/>
      <c r="O23" s="20"/>
      <c r="Q23" s="5"/>
    </row>
    <row r="24" spans="2:17" customFormat="1">
      <c r="B24" s="19"/>
      <c r="C24" s="20"/>
      <c r="D24" s="19"/>
      <c r="E24" s="20"/>
      <c r="F24" s="20"/>
      <c r="G24" s="20"/>
      <c r="H24" s="20"/>
      <c r="I24" s="19"/>
      <c r="J24" s="20"/>
      <c r="K24" s="20"/>
      <c r="L24" s="19"/>
      <c r="M24" s="20"/>
      <c r="N24" s="20"/>
      <c r="O24" s="20"/>
      <c r="Q24" s="5"/>
    </row>
    <row r="25" spans="2:17" customFormat="1">
      <c r="B25" s="19"/>
      <c r="C25" s="20"/>
      <c r="D25" s="19"/>
      <c r="E25" s="20"/>
      <c r="F25" s="20"/>
      <c r="G25" s="20"/>
      <c r="H25" s="20"/>
      <c r="I25" s="19"/>
      <c r="J25" s="20"/>
      <c r="K25" s="20"/>
      <c r="L25" s="19"/>
      <c r="M25" s="20"/>
      <c r="N25" s="20"/>
      <c r="O25" s="20"/>
      <c r="Q25" s="5"/>
    </row>
    <row r="26" spans="2:17" customFormat="1">
      <c r="B26" s="19"/>
      <c r="C26" s="20"/>
      <c r="D26" s="19"/>
      <c r="E26" s="20"/>
      <c r="F26" s="20"/>
      <c r="G26" s="20"/>
      <c r="H26" s="20"/>
      <c r="I26" s="19"/>
      <c r="J26" s="20"/>
      <c r="K26" s="20"/>
      <c r="L26" s="19"/>
      <c r="M26" s="20"/>
      <c r="N26" s="20"/>
      <c r="O26" s="20"/>
      <c r="Q26" s="5"/>
    </row>
    <row r="27" spans="2:17">
      <c r="D27" s="19"/>
    </row>
    <row r="28" spans="2:17">
      <c r="D28" s="19"/>
    </row>
    <row r="29" spans="2:17">
      <c r="D29" s="19"/>
    </row>
    <row r="30" spans="2:17">
      <c r="D30" s="19"/>
    </row>
    <row r="31" spans="2:17">
      <c r="D31" s="19"/>
    </row>
    <row r="32" spans="2:17">
      <c r="D32" s="19"/>
    </row>
    <row r="33" spans="4:4">
      <c r="D33" s="19"/>
    </row>
    <row r="34" spans="4:4">
      <c r="D34" s="19"/>
    </row>
    <row r="35" spans="4:4">
      <c r="D35" s="19"/>
    </row>
    <row r="36" spans="4:4">
      <c r="D36" s="19"/>
    </row>
    <row r="37" spans="4:4">
      <c r="D37" s="19"/>
    </row>
    <row r="38" spans="4:4">
      <c r="D38" s="19"/>
    </row>
    <row r="39" spans="4:4">
      <c r="D39" s="19"/>
    </row>
    <row r="40" spans="4:4">
      <c r="D40" s="19"/>
    </row>
    <row r="41" spans="4:4">
      <c r="D41" s="19"/>
    </row>
    <row r="42" spans="4:4">
      <c r="D42" s="19"/>
    </row>
    <row r="43" spans="4:4">
      <c r="D43" s="19"/>
    </row>
    <row r="44" spans="4:4">
      <c r="D44" s="19"/>
    </row>
    <row r="45" spans="4:4">
      <c r="D45" s="19"/>
    </row>
    <row r="46" spans="4:4">
      <c r="D46" s="19"/>
    </row>
  </sheetData>
  <sortState xmlns:xlrd2="http://schemas.microsoft.com/office/spreadsheetml/2017/richdata2" ref="D3:D4">
    <sortCondition descending="1" ref="D3:D4"/>
  </sortState>
  <mergeCells count="2">
    <mergeCell ref="H1:J1"/>
    <mergeCell ref="I4:J4"/>
  </mergeCells>
  <pageMargins left="0.51181102362204722" right="0.51181102362204722" top="0.78740157480314965" bottom="0.78740157480314965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REPOR_FORMULAR">
                <anchor moveWithCells="1" sizeWithCells="1">
                  <from>
                    <xdr:col>13</xdr:col>
                    <xdr:colOff>238125</xdr:colOff>
                    <xdr:row>2</xdr:row>
                    <xdr:rowOff>123825</xdr:rowOff>
                  </from>
                  <to>
                    <xdr:col>14</xdr:col>
                    <xdr:colOff>847725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B1:L6"/>
  <sheetViews>
    <sheetView zoomScale="90" zoomScaleNormal="90" workbookViewId="0">
      <selection activeCell="E9" sqref="E9"/>
    </sheetView>
  </sheetViews>
  <sheetFormatPr defaultColWidth="8.85546875" defaultRowHeight="15"/>
  <cols>
    <col min="1" max="1" width="3.28515625" style="20" customWidth="1"/>
    <col min="2" max="2" width="24.5703125" style="31" bestFit="1" customWidth="1"/>
    <col min="3" max="4" width="15.7109375" style="33" customWidth="1"/>
    <col min="5" max="5" width="16.85546875" style="33" customWidth="1"/>
    <col min="6" max="12" width="15.7109375" style="33" customWidth="1"/>
    <col min="13" max="16384" width="8.85546875" style="20"/>
  </cols>
  <sheetData>
    <row r="1" spans="2:12" ht="18.75">
      <c r="B1" s="32" t="s">
        <v>66</v>
      </c>
    </row>
    <row r="2" spans="2:12" s="29" customFormat="1">
      <c r="B2" s="30" t="s">
        <v>1</v>
      </c>
      <c r="C2" s="34" t="s">
        <v>118</v>
      </c>
      <c r="D2" s="34" t="s">
        <v>119</v>
      </c>
      <c r="E2" s="34" t="s">
        <v>120</v>
      </c>
      <c r="F2" s="34" t="s">
        <v>121</v>
      </c>
      <c r="G2" s="34" t="s">
        <v>122</v>
      </c>
      <c r="H2" s="34" t="s">
        <v>123</v>
      </c>
      <c r="I2" s="34" t="s">
        <v>124</v>
      </c>
      <c r="J2" s="34" t="s">
        <v>125</v>
      </c>
      <c r="K2" s="34" t="s">
        <v>126</v>
      </c>
      <c r="L2" s="34" t="s">
        <v>127</v>
      </c>
    </row>
    <row r="3" spans="2:12">
      <c r="B3" s="31" t="s">
        <v>147</v>
      </c>
      <c r="C3" s="33" t="s">
        <v>90</v>
      </c>
      <c r="D3" s="33" t="s">
        <v>79</v>
      </c>
      <c r="E3" s="33" t="s">
        <v>72</v>
      </c>
      <c r="F3" s="33" t="s">
        <v>136</v>
      </c>
      <c r="G3" s="33" t="s">
        <v>104</v>
      </c>
    </row>
    <row r="6" spans="2:12">
      <c r="B6" s="5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A4"/>
  <sheetViews>
    <sheetView workbookViewId="0">
      <selection activeCell="F28" sqref="F28"/>
    </sheetView>
  </sheetViews>
  <sheetFormatPr defaultRowHeight="15"/>
  <cols>
    <col min="1" max="1" width="42.140625" bestFit="1" customWidth="1"/>
  </cols>
  <sheetData>
    <row r="1" spans="1:1" ht="23.25">
      <c r="A1" s="18" t="s">
        <v>143</v>
      </c>
    </row>
    <row r="2" spans="1:1" ht="23.25">
      <c r="A2" s="18" t="s">
        <v>64</v>
      </c>
    </row>
    <row r="3" spans="1:1" ht="23.25">
      <c r="A3" s="18" t="s">
        <v>144</v>
      </c>
    </row>
    <row r="4" spans="1:1" ht="23.25">
      <c r="A4" s="18" t="s">
        <v>65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B1166-ECCB-4846-B1DC-114D10B746F0}">
  <sheetPr codeName="Plan7"/>
  <dimension ref="A1:A4"/>
  <sheetViews>
    <sheetView workbookViewId="0">
      <selection activeCell="D20" sqref="D20"/>
    </sheetView>
  </sheetViews>
  <sheetFormatPr defaultRowHeight="15"/>
  <cols>
    <col min="1" max="1" width="42.140625" bestFit="1" customWidth="1"/>
  </cols>
  <sheetData>
    <row r="1" spans="1:1" ht="23.25">
      <c r="A1" s="18" t="s">
        <v>143</v>
      </c>
    </row>
    <row r="2" spans="1:1" ht="23.25">
      <c r="A2" s="18" t="s">
        <v>64</v>
      </c>
    </row>
    <row r="3" spans="1:1" ht="23.25">
      <c r="A3" s="18" t="s">
        <v>144</v>
      </c>
    </row>
    <row r="4" spans="1:1" ht="23.25">
      <c r="A4" s="18" t="s">
        <v>65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GERADOR</vt:lpstr>
      <vt:lpstr>CONTATO (2)</vt:lpstr>
      <vt:lpstr>SEGUIMENTOS</vt:lpstr>
      <vt:lpstr>APOIO</vt:lpstr>
      <vt:lpstr>CONTROLE</vt:lpstr>
      <vt:lpstr>CONTATO</vt:lpstr>
      <vt:lpstr>APOIO!Area_de_extracao</vt:lpstr>
      <vt:lpstr>GERADOR!Area_de_impressao</vt:lpstr>
      <vt:lpstr>SEGUIMENTOS!Area_de_impressao</vt:lpstr>
      <vt:lpstr>APOIO!Criterios</vt:lpstr>
      <vt:lpstr>formQRcode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Gerador de TAG</dc:title>
  <dc:creator>Jousiel Costa Vilela</dc:creator>
  <dc:description>Desenvolvido por:
Jousiel Vilela  -  https://br.linkedin.com/in/jousiel
(71) 98885-0605   (71) 99274-3955
jousiel@gmail.com</dc:description>
  <cp:lastModifiedBy>JCV_WIN8 JCV_WIN8</cp:lastModifiedBy>
  <cp:lastPrinted>2016-03-26T18:41:15Z</cp:lastPrinted>
  <dcterms:created xsi:type="dcterms:W3CDTF">2013-07-18T22:51:54Z</dcterms:created>
  <dcterms:modified xsi:type="dcterms:W3CDTF">2021-06-11T16:18:28Z</dcterms:modified>
  <cp:category>Planilhas de Manutenção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ILEGUID">
    <vt:lpwstr>92f2b467-696f-4448-9a0b-928a4141839b</vt:lpwstr>
  </property>
  <property fmtid="{D5CDD505-2E9C-101B-9397-08002B2CF9AE}" pid="3" name="MODFILEGUID">
    <vt:lpwstr>9430e392-3c03-49e3-8f20-a8df59faf0a9</vt:lpwstr>
  </property>
  <property fmtid="{D5CDD505-2E9C-101B-9397-08002B2CF9AE}" pid="4" name="FILEOWNER">
    <vt:lpwstr>LOGIN</vt:lpwstr>
  </property>
  <property fmtid="{D5CDD505-2E9C-101B-9397-08002B2CF9AE}" pid="5" name="MODFILEOWNER">
    <vt:lpwstr>jvilela</vt:lpwstr>
  </property>
  <property fmtid="{D5CDD505-2E9C-101B-9397-08002B2CF9AE}" pid="6" name="IPPCLASS">
    <vt:i4>1</vt:i4>
  </property>
  <property fmtid="{D5CDD505-2E9C-101B-9397-08002B2CF9AE}" pid="7" name="MODIPPCLASS">
    <vt:i4>1</vt:i4>
  </property>
  <property fmtid="{D5CDD505-2E9C-101B-9397-08002B2CF9AE}" pid="8" name="MACHINEID">
    <vt:lpwstr>N019321</vt:lpwstr>
  </property>
  <property fmtid="{D5CDD505-2E9C-101B-9397-08002B2CF9AE}" pid="9" name="MODMACHINEID">
    <vt:lpwstr>N019321</vt:lpwstr>
  </property>
  <property fmtid="{D5CDD505-2E9C-101B-9397-08002B2CF9AE}" pid="10" name="CURRENTCLASS">
    <vt:lpwstr>Classified - Internal use</vt:lpwstr>
  </property>
</Properties>
</file>